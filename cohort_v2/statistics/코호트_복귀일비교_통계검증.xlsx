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5bfc617c2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5297ce17282420e"/>
    <x:sheet xmlns:r="http://schemas.openxmlformats.org/officeDocument/2006/relationships" name="복귀일 비교" sheetId="2" r:id="R371268a04fd34695"/>
    <x:sheet xmlns:r="http://schemas.openxmlformats.org/officeDocument/2006/relationships" name="전체 검정" sheetId="3" r:id="R16bb9f70e741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0"/>
    <x:numFmt numFmtId="203" formatCode="yyyy-mm-dd"/>
    <x:numFmt numFmtId="204" formatCode="0.000E+00"/>
  </x:numFmts>
  <x:fonts count="5">
    <x:font>
      <x:sz val="11"/>
      <x:name val="Carlito"/>
    </x:font>
    <x:font>
      <x:sz val="10"/>
      <x:color rgb="FF24364B"/>
      <x:name val="Malgun Gothic"/>
    </x:font>
    <x:font>
      <x:b/>
      <x:sz val="15"/>
      <x:color rgb="FF334B68"/>
      <x:name val="Malgun Gothic"/>
    </x:font>
    <x:font>
      <x:b/>
      <x:sz val="10"/>
      <x:color rgb="FF24364B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334B68"/>
      </x:patternFill>
    </x:fill>
    <x:fill>
      <x:patternFill patternType="solid">
        <x:fgColor rgb="FFEDF2F7"/>
      </x:patternFill>
    </x:fill>
    <x:fill>
      <x:patternFill patternType="solid">
        <x:fgColor rgb="FFF1F3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6E0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3" fontId="1" fillId="3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1" fontId="1" fillId="4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4" fillId="2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1">
    <x:dxf>
      <x:font>
        <x:color rgb="FF526175"/>
      </x:font>
      <x:fill>
        <x:patternFill patternType="solid">
          <x:bgColor rgb="FFF1F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f286dbda94488" /><Relationship Type="http://schemas.openxmlformats.org/officeDocument/2006/relationships/theme" Target="/xl/theme/theme1.xml" Id="R0589b046047e4b2a" /><Relationship Type="http://schemas.openxmlformats.org/officeDocument/2006/relationships/sharedStrings" Target="/xl/sharedStrings.xml" Id="R85ad08a10f5d4f8f" /><Relationship Type="http://schemas.openxmlformats.org/officeDocument/2006/relationships/worksheet" Target="/xl/worksheets/sheet1.xml" Id="Rb5297ce17282420e" /><Relationship Type="http://schemas.openxmlformats.org/officeDocument/2006/relationships/worksheet" Target="/xl/worksheets/sheet2.xml" Id="R371268a04fd34695" /><Relationship Type="http://schemas.openxmlformats.org/officeDocument/2006/relationships/worksheet" Target="/xl/worksheets/sheet3.xml" Id="R16bb9f70e741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B68"/>
  </x:sheetPr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21" t="str">
        <x:v>코호트 비교와 통계 검증</x:v>
      </x:c>
      <x:c r="C2" s="22"/>
      <x:c r="D2" s="22"/>
      <x:c r="E2" s="22"/>
      <x:c r="F2" s="22"/>
      <x:c r="G2" s="22"/>
      <x:c r="H2" s="22"/>
      <x:c r="I2" s="22"/>
    </x:row>
    <x:row r="3" ht="24" customHeight="1">
      <x:c r="A3" s="3"/>
      <x:c r="B3" s="3" t="str">
        <x:v>기준 2013.03.01–07 / 추적 03.08–11 UTC / 82,467명 / 분석 2026.10.13</x:v>
      </x:c>
      <x:c r="C3" s="3"/>
      <x:c r="D3" s="3"/>
      <x:c r="E3" s="3"/>
      <x:c r="F3" s="3"/>
      <x:c r="G3" s="3"/>
      <x:c r="H3" s="3"/>
      <x:c r="I3" s="3"/>
    </x:row>
    <x:row r="4" ht="24" customHeight="1">
      <x:c r="A4" s="3"/>
      <x:c r="B4" s="3" t="str">
        <x:v>관측자료의 탐색적 비교. 신뢰구간은 개별 95%, 유의성은 150개 비교의 Holm 보정 p로 판단.</x:v>
      </x:c>
      <x:c r="C4" s="3"/>
      <x:c r="D4" s="3"/>
      <x:c r="E4" s="3"/>
      <x:c r="F4" s="3"/>
      <x:c r="G4" s="3"/>
      <x:c r="H4" s="3"/>
      <x:c r="I4" s="3"/>
    </x:row>
    <x:row r="5" ht="24" customHeight="1">
      <x:c r="A5" s="3"/>
      <x:c r="B5" s="3" t="str">
        <x:v>집계 출처: v3 user_retention_cohort.csv. 통계는 statistics_results.json의 계산 스냅샷.</x:v>
      </x:c>
      <x:c r="C5" s="3"/>
      <x:c r="D5" s="3"/>
      <x:c r="E5" s="3"/>
      <x:c r="F5" s="3"/>
      <x:c r="G5" s="3"/>
      <x:c r="H5" s="3"/>
      <x:c r="I5" s="3"/>
    </x:row>
    <x:row r="6" ht="24" customHeight="1">
      <x:c r="A6" s="3"/>
      <x:c r="B6" s="5" t="str">
        <x:v>4일 안에 한 번 이상 재학습</x:v>
      </x:c>
      <x:c r="C6" s="3"/>
      <x:c r="D6" s="3"/>
      <x:c r="E6" s="3"/>
      <x:c r="F6" s="3"/>
      <x:c r="G6" s="3"/>
      <x:c r="H6" s="3"/>
      <x:c r="I6" s="3"/>
    </x:row>
    <x:row r="7" ht="30" customHeight="1">
      <x:c r="A7" s="3"/>
      <x:c r="B7" s="8" t="str">
        <x:v>세그먼트</x:v>
      </x:c>
      <x:c r="C7" s="8" t="str">
        <x:v>기준 인원</x:v>
      </x:c>
      <x:c r="D7" s="8" t="str">
        <x:v>학습 인원</x:v>
      </x:c>
      <x:c r="E7" s="8" t="str">
        <x:v>학습률</x:v>
      </x:c>
      <x:c r="F7" s="8" t="str">
        <x:v>95% 하한</x:v>
      </x:c>
      <x:c r="G7" s="8" t="str">
        <x:v>95% 상한</x:v>
      </x:c>
      <x:c r="H7" s="3"/>
      <x:c r="I7" s="3"/>
    </x:row>
    <x:row r="8" ht="24" customHeight="1">
      <x:c r="A8" s="3"/>
      <x:c r="B8" s="11" t="str">
        <x:v>전체</x:v>
      </x:c>
      <x:c r="C8" s="12" t="n">
        <x:v>82467</x:v>
      </x:c>
      <x:c r="D8" s="12" t="n">
        <x:v>29240</x:v>
      </x:c>
      <x:c r="E8" s="23" t="n">
        <x:f>D8/C8</x:f>
        <x:v>0.35456606885178316</x:v>
      </x:c>
      <x:c r="F8" s="23" t="n">
        <x:v>0.3513079174577025</x:v>
      </x:c>
      <x:c r="G8" s="23" t="n">
        <x:v>0.3578377687545915</x:v>
      </x:c>
      <x:c r="H8" s="24"/>
      <x:c r="I8" s="24"/>
    </x:row>
    <x:row r="9" ht="24" customHeight="1">
      <x:c r="A9" s="3"/>
      <x:c r="B9" s="3" t="str">
        <x:v>꾸준형</x:v>
      </x:c>
      <x:c r="C9" s="9" t="n">
        <x:v>8882</x:v>
      </x:c>
      <x:c r="D9" s="9" t="n">
        <x:v>7135</x:v>
      </x:c>
      <x:c r="E9" s="25" t="n">
        <x:f>D9/C9</x:f>
        <x:v>0.803310065300608</x:v>
      </x:c>
      <x:c r="F9" s="25" t="n">
        <x:v>0.7949131169744554</x:v>
      </x:c>
      <x:c r="G9" s="25" t="n">
        <x:v>0.8114447642649742</x:v>
      </x:c>
      <x:c r="H9" s="24"/>
      <x:c r="I9" s="24"/>
    </x:row>
    <x:row r="10" ht="24" customHeight="1">
      <x:c r="A10" s="3"/>
      <x:c r="B10" s="3" t="str">
        <x:v>습관 형성형</x:v>
      </x:c>
      <x:c r="C10" s="9" t="n">
        <x:v>14583</x:v>
      </x:c>
      <x:c r="D10" s="9" t="n">
        <x:v>7608</x:v>
      </x:c>
      <x:c r="E10" s="25" t="n">
        <x:f>D10/C10</x:f>
        <x:v>0.5217033532195021</x:v>
      </x:c>
      <x:c r="F10" s="25" t="n">
        <x:v>0.5135912372451401</x:v>
      </x:c>
      <x:c r="G10" s="25" t="n">
        <x:v>0.5298040379956985</x:v>
      </x:c>
      <x:c r="H10" s="24"/>
      <x:c r="I10" s="24"/>
    </x:row>
    <x:row r="11" ht="24" customHeight="1">
      <x:c r="A11" s="3"/>
      <x:c r="B11" s="3" t="str">
        <x:v>최근 단발형</x:v>
      </x:c>
      <x:c r="C11" s="9" t="n">
        <x:v>15402</x:v>
      </x:c>
      <x:c r="D11" s="9" t="n">
        <x:v>5006</x:v>
      </x:c>
      <x:c r="E11" s="25" t="n">
        <x:f>D11/C11</x:f>
        <x:v>0.3250227243215167</x:v>
      </x:c>
      <x:c r="F11" s="25" t="n">
        <x:v>0.3176700574939515</x:v>
      </x:c>
      <x:c r="G11" s="25" t="n">
        <x:v>0.3324626525947968</x:v>
      </x:c>
      <x:c r="H11" s="24"/>
      <x:c r="I11" s="24"/>
    </x:row>
    <x:row r="12" ht="24" customHeight="1">
      <x:c r="A12" s="3"/>
      <x:c r="B12" s="3" t="str">
        <x:v>멈춤-꾸준형</x:v>
      </x:c>
      <x:c r="C12" s="9" t="n">
        <x:v>3627</x:v>
      </x:c>
      <x:c r="D12" s="9" t="n">
        <x:v>1658</x:v>
      </x:c>
      <x:c r="E12" s="25" t="n">
        <x:f>D12/C12</x:f>
        <x:v>0.4571271022883926</x:v>
      </x:c>
      <x:c r="F12" s="25" t="n">
        <x:v>0.4409687800065945</x:v>
      </x:c>
      <x:c r="G12" s="25" t="n">
        <x:v>0.47337614429615565</x:v>
      </x:c>
      <x:c r="H12" s="24"/>
      <x:c r="I12" s="24"/>
    </x:row>
    <x:row r="13" ht="24" customHeight="1">
      <x:c r="A13" s="3"/>
      <x:c r="B13" s="3" t="str">
        <x:v>멈춤-몰입형</x:v>
      </x:c>
      <x:c r="C13" s="9" t="n">
        <x:v>9303</x:v>
      </x:c>
      <x:c r="D13" s="9" t="n">
        <x:v>2456</x:v>
      </x:c>
      <x:c r="E13" s="25" t="n">
        <x:f>D13/C13</x:f>
        <x:v>0.26400085993765454</x:v>
      </x:c>
      <x:c r="F13" s="25" t="n">
        <x:v>0.25514227294573794</x:v>
      </x:c>
      <x:c r="G13" s="25" t="n">
        <x:v>0.2730542672630388</x:v>
      </x:c>
      <x:c r="H13" s="24"/>
      <x:c r="I13" s="24"/>
    </x:row>
    <x:row r="14" ht="24" customHeight="1">
      <x:c r="A14" s="3"/>
      <x:c r="B14" s="3" t="str">
        <x:v>멈춤-저활동형</x:v>
      </x:c>
      <x:c r="C14" s="9" t="n">
        <x:v>30670</x:v>
      </x:c>
      <x:c r="D14" s="9" t="n">
        <x:v>5377</x:v>
      </x:c>
      <x:c r="E14" s="25" t="n">
        <x:f>D14/C14</x:f>
        <x:v>0.17531790022823607</x:v>
      </x:c>
      <x:c r="F14" s="25" t="n">
        <x:v>0.1711031633853761</x:v>
      </x:c>
      <x:c r="G14" s="25" t="n">
        <x:v>0.1796139606260713</x:v>
      </x:c>
      <x:c r="H14" s="24"/>
      <x:c r="I14" s="24"/>
    </x:row>
    <x:row r="15" ht="24" customHeight="1">
      <x:c r="A15" s="3"/>
      <x:c r="B15" s="3"/>
      <x:c r="C15" s="3"/>
      <x:c r="D15" s="3"/>
      <x:c r="E15" s="24"/>
      <x:c r="F15" s="24"/>
      <x:c r="G15" s="24"/>
      <x:c r="H15" s="24"/>
      <x:c r="I15" s="24"/>
    </x:row>
    <x:row r="16" ht="24" customHeight="1">
      <x:c r="A16" s="3"/>
      <x:c r="B16" s="3"/>
      <x:c r="C16" s="3"/>
      <x:c r="D16" s="3"/>
      <x:c r="E16" s="24"/>
      <x:c r="F16" s="24"/>
      <x:c r="G16" s="24"/>
      <x:c r="H16" s="24"/>
      <x:c r="I16" s="24"/>
    </x:row>
    <x:row r="17" ht="24" customHeight="1">
      <x:c r="A17" s="3"/>
      <x:c r="B17" s="3"/>
      <x:c r="C17" s="3"/>
      <x:c r="D17" s="3"/>
      <x:c r="E17" s="24"/>
      <x:c r="F17" s="24"/>
      <x:c r="G17" s="24"/>
      <x:c r="H17" s="24"/>
      <x:c r="I17" s="24"/>
    </x:row>
    <x:row r="18" ht="24" customHeight="1">
      <x:c r="A18" s="3"/>
      <x:c r="B18" s="5" t="str">
        <x:v>4일 중 서로 다른 날짜에 2일 이상 학습</x:v>
      </x:c>
      <x:c r="C18" s="3"/>
      <x:c r="D18" s="3"/>
      <x:c r="E18" s="24"/>
      <x:c r="F18" s="24"/>
      <x:c r="G18" s="24"/>
      <x:c r="H18" s="24"/>
      <x:c r="I18" s="24"/>
    </x:row>
    <x:row r="19" ht="30" customHeight="1">
      <x:c r="A19" s="3"/>
      <x:c r="B19" s="8" t="str">
        <x:v>세그먼트</x:v>
      </x:c>
      <x:c r="C19" s="8" t="str">
        <x:v>기준 인원</x:v>
      </x:c>
      <x:c r="D19" s="8" t="str">
        <x:v>학습 인원</x:v>
      </x:c>
      <x:c r="E19" s="26" t="str">
        <x:v>학습률</x:v>
      </x:c>
      <x:c r="F19" s="26" t="str">
        <x:v>95% 하한</x:v>
      </x:c>
      <x:c r="G19" s="26" t="str">
        <x:v>95% 상한</x:v>
      </x:c>
      <x:c r="H19" s="24"/>
      <x:c r="I19" s="24"/>
    </x:row>
    <x:row r="20" ht="24" customHeight="1">
      <x:c r="A20" s="3"/>
      <x:c r="B20" s="11" t="str">
        <x:v>전체</x:v>
      </x:c>
      <x:c r="C20" s="12" t="n">
        <x:v>82467</x:v>
      </x:c>
      <x:c r="D20" s="12" t="n">
        <x:v>13466</x:v>
      </x:c>
      <x:c r="E20" s="23" t="n">
        <x:f>D20/C20</x:f>
        <x:v>0.16328955824754143</x:v>
      </x:c>
      <x:c r="F20" s="23" t="n">
        <x:v>0.1607824987198467</x:v>
      </x:c>
      <x:c r="G20" s="23" t="n">
        <x:v>0.16582798545073482</x:v>
      </x:c>
      <x:c r="H20" s="24"/>
      <x:c r="I20" s="24"/>
    </x:row>
    <x:row r="21" ht="24" customHeight="1">
      <x:c r="A21" s="3"/>
      <x:c r="B21" s="3" t="str">
        <x:v>꾸준형</x:v>
      </x:c>
      <x:c r="C21" s="9" t="n">
        <x:v>8882</x:v>
      </x:c>
      <x:c r="D21" s="9" t="n">
        <x:v>4963</x:v>
      </x:c>
      <x:c r="E21" s="25" t="n">
        <x:f>D21/C21</x:f>
        <x:v>0.5587705471740599</x:v>
      </x:c>
      <x:c r="F21" s="25" t="n">
        <x:v>0.5484211130643585</x:v>
      </x:c>
      <x:c r="G21" s="25" t="n">
        <x:v>0.5690691668194509</x:v>
      </x:c>
      <x:c r="H21" s="24"/>
      <x:c r="I21" s="24"/>
    </x:row>
    <x:row r="22" ht="24" customHeight="1">
      <x:c r="A22" s="3"/>
      <x:c r="B22" s="3" t="str">
        <x:v>습관 형성형</x:v>
      </x:c>
      <x:c r="C22" s="9" t="n">
        <x:v>14583</x:v>
      </x:c>
      <x:c r="D22" s="9" t="n">
        <x:v>3562</x:v>
      </x:c>
      <x:c r="E22" s="25" t="n">
        <x:f>D22/C22</x:f>
        <x:v>0.2442570115888363</x:v>
      </x:c>
      <x:c r="F22" s="25" t="n">
        <x:v>0.23735170472821449</x:v>
      </x:c>
      <x:c r="G22" s="25" t="n">
        <x:v>0.25129701877665866</x:v>
      </x:c>
      <x:c r="H22" s="24"/>
      <x:c r="I22" s="24"/>
    </x:row>
    <x:row r="23" ht="24" customHeight="1">
      <x:c r="A23" s="3"/>
      <x:c r="B23" s="3" t="str">
        <x:v>최근 단발형</x:v>
      </x:c>
      <x:c r="C23" s="9" t="n">
        <x:v>15402</x:v>
      </x:c>
      <x:c r="D23" s="9" t="n">
        <x:v>1862</x:v>
      </x:c>
      <x:c r="E23" s="25" t="n">
        <x:f>D23/C23</x:f>
        <x:v>0.12089339046877029</x:v>
      </x:c>
      <x:c r="F23" s="25" t="n">
        <x:v>0.11583918481029243</x:v>
      </x:c>
      <x:c r="G23" s="25" t="n">
        <x:v>0.12613665719646142</x:v>
      </x:c>
      <x:c r="H23" s="24"/>
      <x:c r="I23" s="24"/>
    </x:row>
    <x:row r="24" ht="24" customHeight="1">
      <x:c r="A24" s="3"/>
      <x:c r="B24" s="3" t="str">
        <x:v>멈춤-꾸준형</x:v>
      </x:c>
      <x:c r="C24" s="9" t="n">
        <x:v>3627</x:v>
      </x:c>
      <x:c r="D24" s="9" t="n">
        <x:v>808</x:v>
      </x:c>
      <x:c r="E24" s="25" t="n">
        <x:f>D24/C24</x:f>
        <x:v>0.22277364212848083</x:v>
      </x:c>
      <x:c r="F24" s="25" t="n">
        <x:v>0.2095290260474707</x:v>
      </x:c>
      <x:c r="G24" s="25" t="n">
        <x:v>0.2366048735436237</x:v>
      </x:c>
      <x:c r="H24" s="24"/>
      <x:c r="I24" s="24"/>
    </x:row>
    <x:row r="25" ht="24" customHeight="1">
      <x:c r="A25" s="3"/>
      <x:c r="B25" s="3" t="str">
        <x:v>멈춤-몰입형</x:v>
      </x:c>
      <x:c r="C25" s="9" t="n">
        <x:v>9303</x:v>
      </x:c>
      <x:c r="D25" s="9" t="n">
        <x:v>841</x:v>
      </x:c>
      <x:c r="E25" s="25" t="n">
        <x:f>D25/C25</x:f>
        <x:v>0.09040094593141997</x:v>
      </x:c>
      <x:c r="F25" s="25" t="n">
        <x:v>0.0847417197646569</x:v>
      </x:c>
      <x:c r="G25" s="25" t="n">
        <x:v>0.0963983013993346</x:v>
      </x:c>
      <x:c r="H25" s="24"/>
      <x:c r="I25" s="24"/>
    </x:row>
    <x:row r="26" ht="24" customHeight="1">
      <x:c r="A26" s="3"/>
      <x:c r="B26" s="3" t="str">
        <x:v>멈춤-저활동형</x:v>
      </x:c>
      <x:c r="C26" s="9" t="n">
        <x:v>30670</x:v>
      </x:c>
      <x:c r="D26" s="9" t="n">
        <x:v>1430</x:v>
      </x:c>
      <x:c r="E26" s="25" t="n">
        <x:f>D26/C26</x:f>
        <x:v>0.046625366807955655</x:v>
      </x:c>
      <x:c r="F26" s="25" t="n">
        <x:v>0.04432203328965875</x:v>
      </x:c>
      <x:c r="G26" s="25" t="n">
        <x:v>0.049042257670290634</x:v>
      </x:c>
      <x:c r="H26" s="24"/>
      <x:c r="I26" s="24"/>
    </x:row>
    <x:row r="27" ht="24" customHeight="1">
      <x:c r="A27" s="3"/>
      <x:c r="B27" s="3"/>
      <x:c r="C27" s="3"/>
      <x:c r="D27" s="3"/>
      <x:c r="E27" s="24"/>
      <x:c r="F27" s="24"/>
      <x:c r="G27" s="24"/>
      <x:c r="H27" s="24"/>
      <x:c r="I27" s="24"/>
    </x:row>
    <x:row r="28" ht="24" customHeight="1">
      <x:c r="A28" s="3"/>
      <x:c r="B28" s="3"/>
      <x:c r="C28" s="3"/>
      <x:c r="D28" s="3"/>
      <x:c r="E28" s="24"/>
      <x:c r="F28" s="24"/>
      <x:c r="G28" s="24"/>
      <x:c r="H28" s="24"/>
      <x:c r="I28" s="24"/>
    </x:row>
    <x:row r="29" ht="24" customHeight="1">
      <x:c r="A29" s="3"/>
      <x:c r="B29" s="3" t="str">
        <x:v>습관 형성형과 최근 단발형의 격차는 3/8·3/9 복귀자에서도 확인됨. 3/10 D+1은 유의하지 않음.</x:v>
      </x:c>
      <x:c r="C29" s="3"/>
      <x:c r="D29" s="3"/>
      <x:c r="E29" s="24"/>
      <x:c r="F29" s="24"/>
      <x:c r="G29" s="24"/>
      <x:c r="H29" s="24"/>
      <x:c r="I29" s="24"/>
    </x:row>
    <x:row r="30" ht="24" customHeight="1">
      <x:c r="A30" s="3"/>
      <x:c r="B30" s="3" t="str">
        <x:v>습관 형성형과 멈춤-꾸준형의 전체 반복학습률 차이는 보정 후 유의하지 않음.</x:v>
      </x:c>
      <x:c r="C30" s="3"/>
      <x:c r="D30" s="3"/>
      <x:c r="E30" s="24"/>
      <x:c r="F30" s="24"/>
      <x:c r="G30" s="24"/>
      <x:c r="H30" s="24"/>
      <x:c r="I30" s="24"/>
    </x:row>
    <x:row r="31" ht="24" customHeight="1">
      <x:c r="A31" s="3"/>
      <x:c r="B31" s="3"/>
      <x:c r="C31" s="3"/>
      <x:c r="D31" s="3"/>
      <x:c r="E31" s="24"/>
      <x:c r="F31" s="24"/>
      <x:c r="G31" s="24"/>
      <x:c r="H31" s="24"/>
      <x:c r="I31" s="24"/>
    </x:row>
    <x:row r="32" ht="24" customHeight="1">
      <x:c r="A32" s="3"/>
      <x:c r="B32" s="3" t="str">
        <x:v>전체 기준집단의 주요 반복학습률 비교 (차이 = A − B, 단위 %p)</x:v>
      </x:c>
      <x:c r="C32" s="3"/>
      <x:c r="D32" s="3"/>
      <x:c r="E32" s="24"/>
      <x:c r="F32" s="24"/>
      <x:c r="G32" s="24"/>
      <x:c r="H32" s="24"/>
      <x:c r="I32" s="24"/>
    </x:row>
    <x:row r="33" ht="30" customHeight="1">
      <x:c r="A33" s="3"/>
      <x:c r="B33" s="8" t="str">
        <x:v>집단 A</x:v>
      </x:c>
      <x:c r="C33" s="8" t="str">
        <x:v>집단 B</x:v>
      </x:c>
      <x:c r="D33" s="8" t="str">
        <x:v>차이 (%p)</x:v>
      </x:c>
      <x:c r="E33" s="26" t="str">
        <x:v>95% 하한</x:v>
      </x:c>
      <x:c r="F33" s="26" t="str">
        <x:v>95% 상한</x:v>
      </x:c>
      <x:c r="G33" s="26" t="str">
        <x:v>보정 p</x:v>
      </x:c>
      <x:c r="H33" s="26" t="str">
        <x:v>판정</x:v>
      </x:c>
      <x:c r="I33" s="24"/>
    </x:row>
    <x:row r="34" ht="24" customHeight="1">
      <x:c r="A34" s="3"/>
      <x:c r="B34" s="3" t="str">
        <x:v>습관 형성형</x:v>
      </x:c>
      <x:c r="C34" s="3" t="str">
        <x:v>최근 단발형</x:v>
      </x:c>
      <x:c r="D34" s="14" t="n">
        <x:f>'전체 검정'!J13</x:f>
        <x:v>12.336362112006602</x:v>
      </x:c>
      <x:c r="E34" s="27" t="n">
        <x:f>'전체 검정'!K13</x:f>
        <x:v>11.469326306419177</x:v>
      </x:c>
      <x:c r="F34" s="27" t="n">
        <x:f>'전체 검정'!L13</x:f>
        <x:v>13.203003306750885</x:v>
      </x:c>
      <x:c r="G34" s="33" t="n">
        <x:f>'전체 검정'!M13</x:f>
        <x:v>3.200241561755125e-167</x:v>
      </x:c>
      <x:c r="H34" s="24" t="str">
        <x:f>'전체 검정'!N13</x:f>
        <x:v>유의</x:v>
      </x:c>
      <x:c r="I34" s="24"/>
    </x:row>
    <x:row r="35" ht="24" customHeight="1">
      <x:c r="A35" s="3"/>
      <x:c r="B35" s="3" t="str">
        <x:v>습관 형성형</x:v>
      </x:c>
      <x:c r="C35" s="3" t="str">
        <x:v>멈춤-꾸준형</x:v>
      </x:c>
      <x:c r="D35" s="14" t="n">
        <x:f>'전체 검정'!J14</x:f>
        <x:v>2.1483369460355477</x:v>
      </x:c>
      <x:c r="E35" s="27" t="n">
        <x:f>'전체 검정'!K14</x:f>
        <x:v>0.6024190138716644</x:v>
      </x:c>
      <x:c r="F35" s="27" t="n">
        <x:f>'전체 검정'!L14</x:f>
        <x:v>3.648275465902087</x:v>
      </x:c>
      <x:c r="G35" s="33" t="n">
        <x:f>'전체 검정'!M14</x:f>
        <x:v>0.1810621026017299</x:v>
      </x:c>
      <x:c r="H35" s="24" t="str">
        <x:f>'전체 검정'!N14</x:f>
        <x:v>유의하지 않음</x:v>
      </x:c>
      <x:c r="I35" s="24"/>
    </x:row>
    <x:row r="36" ht="24" customHeight="1">
      <x:c r="A36" s="3"/>
      <x:c r="B36" s="3" t="str">
        <x:v>멈춤-꾸준형</x:v>
      </x:c>
      <x:c r="C36" s="3" t="str">
        <x:v>멈춤-몰입형</x:v>
      </x:c>
      <x:c r="D36" s="14" t="n">
        <x:f>'전체 검정'!J20</x:f>
        <x:v>13.237269619706089</x:v>
      </x:c>
      <x:c r="E36" s="27" t="n">
        <x:f>'전체 검정'!K20</x:f>
        <x:v>11.783350338102473</x:v>
      </x:c>
      <x:c r="F36" s="27" t="n">
        <x:f>'전체 검정'!L20</x:f>
        <x:v>14.7316919270403</x:v>
      </x:c>
      <x:c r="G36" s="33" t="n">
        <x:f>'전체 검정'!M20</x:f>
        <x:v>2.6983185869570858e-89</x:v>
      </x:c>
      <x:c r="H36" s="24" t="str">
        <x:f>'전체 검정'!N20</x:f>
        <x:v>유의</x:v>
      </x:c>
      <x:c r="I36" s="24"/>
    </x:row>
    <x:row r="37" ht="24" customHeight="1">
      <x:c r="A37" s="3"/>
      <x:c r="B37" s="3"/>
      <x:c r="C37" s="3"/>
      <x:c r="D37" s="3"/>
      <x:c r="E37" s="24"/>
      <x:c r="F37" s="24"/>
      <x:c r="G37" s="24"/>
      <x:c r="H37" s="24"/>
      <x:c r="I37" s="24"/>
    </x:row>
    <x:row r="38" ht="24" customHeight="1">
      <x:c r="A38" s="3"/>
      <x:c r="B38" s="3"/>
      <x:c r="C38" s="3"/>
      <x:c r="D38" s="3"/>
      <x:c r="E38" s="24"/>
      <x:c r="F38" s="24"/>
      <x:c r="G38" s="24"/>
      <x:c r="H38" s="24"/>
      <x:c r="I38" s="24"/>
    </x:row>
    <x:row r="39" ht="24" customHeight="1">
      <x:c r="A39" s="3"/>
      <x:c r="B39" s="3" t="str">
        <x:v>비율: Wilson 95% 구간. 차이: Newcombe 95% 구간. 구간은 다중 비교 보정 전 값.</x:v>
      </x:c>
      <x:c r="C39" s="3"/>
      <x:c r="D39" s="3"/>
      <x:c r="E39" s="24"/>
      <x:c r="F39" s="24"/>
      <x:c r="G39" s="24"/>
      <x:c r="H39" s="24"/>
      <x:c r="I39" s="24"/>
    </x:row>
    <x:row r="40" ht="24" customHeight="1">
      <x:c r="A40" s="3"/>
      <x:c r="B40" s="3" t="str">
        <x:v>검정: 양측 두 비율 z 검정. 30개 전체집단 + 120개 같은 복귀일 비교를 한 묶음으로 Holm 보정.</x:v>
      </x:c>
      <x:c r="C40" s="3"/>
      <x:c r="D40" s="3"/>
      <x:c r="E40" s="24"/>
      <x:c r="F40" s="24"/>
      <x:c r="G40" s="24"/>
      <x:c r="H40" s="24"/>
      <x:c r="I40" s="24"/>
    </x:row>
    <x:row r="41" ht="24" customHeight="1">
      <x:c r="A41" s="3"/>
      <x:c r="B41" s="3" t="str">
        <x:v>개별 신뢰구간이 0을 제외해도 Holm 보정 후 유의하지 않을 수 있음. 비유의는 동등성 입증이 아님.</x:v>
      </x:c>
      <x:c r="C41" s="3"/>
      <x:c r="D41" s="3"/>
      <x:c r="E41" s="24"/>
      <x:c r="F41" s="24"/>
      <x:c r="G41" s="24"/>
      <x:c r="H41" s="24"/>
      <x:c r="I41" s="24"/>
    </x:row>
    <x:row r="42" ht="24" customHeight="1">
      <x:c r="A42" s="3"/>
      <x:c r="B42" s="3" t="str">
        <x:v>같은 복귀일 비교의 분모는 해당 날짜 복귀자. 원래 세그먼트 전체에 대한 결론으로 확대하지 않음.</x:v>
      </x:c>
      <x:c r="C42" s="3"/>
      <x:c r="D42" s="3"/>
      <x:c r="E42" s="24"/>
      <x:c r="F42" s="24"/>
      <x:c r="G42" s="24"/>
      <x:c r="H42" s="24"/>
      <x:c r="I42" s="24"/>
    </x:row>
    <x:row r="43" ht="24" customHeight="1">
      <x:c r="A43" s="3"/>
      <x:c r="B43" s="3" t="str">
        <x:v>동일 복귀일은 관측 기회를 맞추지만 최근성·활동량 차이를 통제하지 않음. 인과·개입 효과는 미검증.</x:v>
      </x:c>
      <x:c r="C43" s="3"/>
      <x:c r="D43" s="3"/>
      <x:c r="E43" s="24"/>
      <x:c r="F43" s="24"/>
      <x:c r="G43" s="24"/>
      <x:c r="H43" s="24"/>
      <x:c r="I43" s="24"/>
    </x:row>
    <x:row r="44" ht="24" customHeight="1">
      <x:c r="A44" s="3"/>
      <x:c r="B44" s="3" t="str">
        <x:v>D7/D30·장기 이탈·다음 주 NSM은 4일 추적으로 확인 불가. 3/11 복귀자의 이후 칸은 미관측.</x:v>
      </x:c>
      <x:c r="C44" s="3"/>
      <x:c r="D44" s="3"/>
      <x:c r="E44" s="24"/>
      <x:c r="F44" s="24"/>
      <x:c r="G44" s="24"/>
      <x:c r="H44" s="24"/>
      <x:c r="I44" s="24"/>
    </x:row>
    <x:row r="45" ht="24" customHeight="1">
      <x:c r="A45" s="3"/>
      <x:c r="B45" s="3" t="str">
        <x:v>통계 결과를 갱신하려면 analyze_cohort_statistics.py와 이 엑셀 생성 스크립트를 다시 실행.</x:v>
      </x:c>
      <x:c r="C45" s="3"/>
      <x:c r="D45" s="3"/>
      <x:c r="E45" s="24"/>
      <x:c r="F45" s="24"/>
      <x:c r="G45" s="24"/>
      <x:c r="H45" s="24"/>
      <x:c r="I45" s="24"/>
    </x:row>
    <x:row r="46" ht="24" customHeight="1">
      <x:c r="A46" s="3"/>
      <x:c r="B46" s="3"/>
      <x:c r="C46" s="3"/>
      <x:c r="D46" s="3"/>
      <x:c r="E46" s="24"/>
      <x:c r="F46" s="24"/>
      <x:c r="G46" s="24"/>
      <x:c r="H46" s="24"/>
      <x:c r="I46" s="24"/>
    </x:row>
    <x:row r="47" ht="24" customHeight="1">
      <x:c r="A47" s="3"/>
      <x:c r="B47" s="3"/>
      <x:c r="C47" s="3"/>
      <x:c r="D47" s="3"/>
      <x:c r="E47" s="24"/>
      <x:c r="F47" s="24"/>
      <x:c r="G47" s="24"/>
      <x:c r="H47" s="24"/>
      <x:c r="I47" s="24"/>
    </x:row>
    <x:row r="48" ht="24" customHeight="1">
      <x:c r="A48" s="3"/>
      <x:c r="B48" s="3"/>
      <x:c r="C48" s="3"/>
      <x:c r="D48" s="3"/>
      <x:c r="E48" s="24"/>
      <x:c r="F48" s="24"/>
      <x:c r="G48" s="24"/>
      <x:c r="H48" s="24"/>
      <x:c r="I48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21" t="str">
        <x:v>같은 복귀일의 세그먼트 비교</x:v>
      </x:c>
      <x:c r="C2" s="22"/>
      <x:c r="D2" s="22"/>
      <x:c r="E2" s="22"/>
      <x:c r="F2" s="22"/>
      <x:c r="G2" s="22"/>
      <x:c r="H2" s="22"/>
      <x:c r="I2" s="22"/>
      <x:c r="J2" s="22"/>
      <x:c r="K2" s="22"/>
    </x:row>
    <x:row r="3" ht="24" customHeight="1">
      <x:c r="A3" s="3"/>
      <x:c r="B3" s="3" t="str">
        <x:v>D0 = 추적기간 중 첫 재학습일. 분모 = 해당 날짜에 처음 복귀한 사용자.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 ht="24" customHeight="1">
      <x:c r="A4" s="3"/>
      <x:c r="B4" s="3" t="str">
        <x:v>2일 내 추가 학습 = D+1 또는 D+2 학습. D+1~D+3은 각 날짜 당일 학습률.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3"/>
      <x:c r="B5" s="3" t="str">
        <x:v>미관측은 빈칸으로 유지. 구간은 개별 Wilson 95% 신뢰구간.</x:v>
      </x:c>
      <x:c r="C5" s="3"/>
      <x:c r="D5" s="3"/>
      <x:c r="E5" s="3"/>
      <x:c r="F5" s="3"/>
      <x:c r="G5" s="3"/>
      <x:c r="H5" s="3"/>
      <x:c r="I5" s="3"/>
      <x:c r="J5" s="3"/>
      <x:c r="K5" s="3"/>
    </x:row>
    <x:row r="6" ht="24" customHeight="1">
      <x:c r="A6" s="3"/>
      <x:c r="B6" s="3" t="str">
        <x:v>입력: v3 사용자별 활동을 재집계하고 first_return_cohorts.csv와 전수 대조.</x:v>
      </x:c>
      <x:c r="C6" s="3"/>
      <x:c r="D6" s="3"/>
      <x:c r="E6" s="3"/>
      <x:c r="F6" s="3"/>
      <x:c r="G6" s="3"/>
      <x:c r="H6" s="3"/>
      <x:c r="I6" s="3"/>
      <x:c r="J6" s="3"/>
      <x:c r="K6" s="3"/>
    </x:row>
    <x:row r="7" ht="30" customHeight="1">
      <x:c r="A7" s="3"/>
      <x:c r="B7" s="8" t="str">
        <x:v>첫 복귀일</x:v>
      </x:c>
      <x:c r="C7" s="8" t="str">
        <x:v>지표</x:v>
      </x:c>
      <x:c r="D7" s="8" t="str">
        <x:v>세그먼트</x:v>
      </x:c>
      <x:c r="E7" s="8" t="str">
        <x:v>복귀 인원</x:v>
      </x:c>
      <x:c r="F7" s="8" t="str">
        <x:v>학습 인원</x:v>
      </x:c>
      <x:c r="G7" s="8" t="str">
        <x:v>학습률</x:v>
      </x:c>
      <x:c r="H7" s="8" t="str">
        <x:v>95% 하한</x:v>
      </x:c>
      <x:c r="I7" s="8" t="str">
        <x:v>95% 상한</x:v>
      </x:c>
      <x:c r="J7" s="8" t="str">
        <x:v>관측 상태</x:v>
      </x:c>
      <x:c r="K7" s="3"/>
    </x:row>
    <x:row r="8" ht="24" customHeight="1">
      <x:c r="A8" s="3"/>
      <x:c r="B8" s="16" t="d">
        <x:v>2013-03-08T00:00:00.000Z</x:v>
      </x:c>
      <x:c r="C8" s="11" t="str">
        <x:v>D+1 학습</x:v>
      </x:c>
      <x:c r="D8" s="11" t="str">
        <x:v>전체</x:v>
      </x:c>
      <x:c r="E8" s="28" t="n">
        <x:v>14846</x:v>
      </x:c>
      <x:c r="F8" s="29" t="n">
        <x:v>5475</x:v>
      </x:c>
      <x:c r="G8" s="25" t="n">
        <x:f>F8/E8</x:f>
        <x:v>0.36878620503839415</x:v>
      </x:c>
      <x:c r="H8" s="25" t="n">
        <x:v>0.36106005558047466</x:v>
      </x:c>
      <x:c r="I8" s="25" t="n">
        <x:v>0.3765802410648606</x:v>
      </x:c>
      <x:c r="J8" s="24" t="str">
        <x:v>관측</x:v>
      </x:c>
      <x:c r="K8" s="24"/>
    </x:row>
    <x:row r="9" ht="24" customHeight="1">
      <x:c r="A9" s="3"/>
      <x:c r="B9" s="17" t="d">
        <x:v>2013-03-08T00:00:00.000Z</x:v>
      </x:c>
      <x:c r="C9" s="3" t="str">
        <x:v>D+1 학습</x:v>
      </x:c>
      <x:c r="D9" s="3" t="str">
        <x:v>꾸준형</x:v>
      </x:c>
      <x:c r="E9" s="29" t="n">
        <x:v>4602</x:v>
      </x:c>
      <x:c r="F9" s="29" t="n">
        <x:v>2518</x:v>
      </x:c>
      <x:c r="G9" s="25" t="n">
        <x:f>F9/E9</x:f>
        <x:v>0.5471534115601913</x:v>
      </x:c>
      <x:c r="H9" s="25" t="n">
        <x:v>0.5327385052264824</x:v>
      </x:c>
      <x:c r="I9" s="25" t="n">
        <x:v>0.561489662173601</x:v>
      </x:c>
      <x:c r="J9" s="24" t="str">
        <x:v>관측</x:v>
      </x:c>
      <x:c r="K9" s="24"/>
    </x:row>
    <x:row r="10" ht="24" customHeight="1">
      <x:c r="A10" s="3"/>
      <x:c r="B10" s="17" t="d">
        <x:v>2013-03-08T00:00:00.000Z</x:v>
      </x:c>
      <x:c r="C10" s="3" t="str">
        <x:v>D+1 학습</x:v>
      </x:c>
      <x:c r="D10" s="3" t="str">
        <x:v>습관 형성형</x:v>
      </x:c>
      <x:c r="E10" s="29" t="n">
        <x:v>4106</x:v>
      </x:c>
      <x:c r="F10" s="29" t="n">
        <x:v>1366</x:v>
      </x:c>
      <x:c r="G10" s="25" t="n">
        <x:f>F10/E10</x:f>
        <x:v>0.3326838772528008</x:v>
      </x:c>
      <x:c r="H10" s="25" t="n">
        <x:v>0.31843428631068516</x:v>
      </x:c>
      <x:c r="I10" s="25" t="n">
        <x:v>0.3472462481413021</x:v>
      </x:c>
      <x:c r="J10" s="24" t="str">
        <x:v>관측</x:v>
      </x:c>
      <x:c r="K10" s="24"/>
    </x:row>
    <x:row r="11" ht="24" customHeight="1">
      <x:c r="A11" s="3"/>
      <x:c r="B11" s="17" t="d">
        <x:v>2013-03-08T00:00:00.000Z</x:v>
      </x:c>
      <x:c r="C11" s="3" t="str">
        <x:v>D+1 학습</x:v>
      </x:c>
      <x:c r="D11" s="3" t="str">
        <x:v>최근 단발형</x:v>
      </x:c>
      <x:c r="E11" s="29" t="n">
        <x:v>2636</x:v>
      </x:c>
      <x:c r="F11" s="29" t="n">
        <x:v>708</x:v>
      </x:c>
      <x:c r="G11" s="25" t="n">
        <x:f>F11/E11</x:f>
        <x:v>0.26858877086494687</x:v>
      </x:c>
      <x:c r="H11" s="25" t="n">
        <x:v>0.252014488416529</x:v>
      </x:c>
      <x:c r="I11" s="25" t="n">
        <x:v>0.2858365458099676</x:v>
      </x:c>
      <x:c r="J11" s="24" t="str">
        <x:v>관측</x:v>
      </x:c>
      <x:c r="K11" s="24"/>
    </x:row>
    <x:row r="12" ht="24" customHeight="1">
      <x:c r="A12" s="3"/>
      <x:c r="B12" s="17" t="d">
        <x:v>2013-03-08T00:00:00.000Z</x:v>
      </x:c>
      <x:c r="C12" s="3" t="str">
        <x:v>D+1 학습</x:v>
      </x:c>
      <x:c r="D12" s="3" t="str">
        <x:v>멈춤-꾸준형</x:v>
      </x:c>
      <x:c r="E12" s="29" t="n">
        <x:v>732</x:v>
      </x:c>
      <x:c r="F12" s="29" t="n">
        <x:v>291</x:v>
      </x:c>
      <x:c r="G12" s="25" t="n">
        <x:f>F12/E12</x:f>
        <x:v>0.3975409836065574</x:v>
      </x:c>
      <x:c r="H12" s="25" t="n">
        <x:v>0.36271195426548164</x:v>
      </x:c>
      <x:c r="I12" s="25" t="n">
        <x:v>0.43343978711587594</x:v>
      </x:c>
      <x:c r="J12" s="24" t="str">
        <x:v>관측</x:v>
      </x:c>
      <x:c r="K12" s="24"/>
    </x:row>
    <x:row r="13" ht="24" customHeight="1">
      <x:c r="A13" s="3"/>
      <x:c r="B13" s="17" t="d">
        <x:v>2013-03-08T00:00:00.000Z</x:v>
      </x:c>
      <x:c r="C13" s="3" t="str">
        <x:v>D+1 학습</x:v>
      </x:c>
      <x:c r="D13" s="3" t="str">
        <x:v>멈춤-몰입형</x:v>
      </x:c>
      <x:c r="E13" s="29" t="n">
        <x:v>924</x:v>
      </x:c>
      <x:c r="F13" s="29" t="n">
        <x:v>240</x:v>
      </x:c>
      <x:c r="G13" s="25" t="n">
        <x:f>F13/E13</x:f>
        <x:v>0.2597402597402597</x:v>
      </x:c>
      <x:c r="H13" s="25" t="n">
        <x:v>0.2325029206530146</x:v>
      </x:c>
      <x:c r="I13" s="25" t="n">
        <x:v>0.28896705055916505</x:v>
      </x:c>
      <x:c r="J13" s="24" t="str">
        <x:v>관측</x:v>
      </x:c>
      <x:c r="K13" s="24"/>
    </x:row>
    <x:row r="14" ht="24" customHeight="1">
      <x:c r="A14" s="3"/>
      <x:c r="B14" s="17" t="d">
        <x:v>2013-03-08T00:00:00.000Z</x:v>
      </x:c>
      <x:c r="C14" s="3" t="str">
        <x:v>D+1 학습</x:v>
      </x:c>
      <x:c r="D14" s="3" t="str">
        <x:v>멈춤-저활동형</x:v>
      </x:c>
      <x:c r="E14" s="29" t="n">
        <x:v>1846</x:v>
      </x:c>
      <x:c r="F14" s="29" t="n">
        <x:v>352</x:v>
      </x:c>
      <x:c r="G14" s="25" t="n">
        <x:f>F14/E14</x:f>
        <x:v>0.19068255687973998</x:v>
      </x:c>
      <x:c r="H14" s="25" t="n">
        <x:v>0.1734116165064342</x:v>
      </x:c>
      <x:c r="I14" s="25" t="n">
        <x:v>0.20923818055885338</x:v>
      </x:c>
      <x:c r="J14" s="24" t="str">
        <x:v>관측</x:v>
      </x:c>
      <x:c r="K14" s="24"/>
    </x:row>
    <x:row r="15" ht="24" customHeight="1">
      <x:c r="A15" s="3"/>
      <x:c r="B15" s="16" t="d">
        <x:v>2013-03-08T00:00:00.000Z</x:v>
      </x:c>
      <x:c r="C15" s="11" t="str">
        <x:v>D+2 학습</x:v>
      </x:c>
      <x:c r="D15" s="11" t="str">
        <x:v>전체</x:v>
      </x:c>
      <x:c r="E15" s="28" t="n">
        <x:v>14846</x:v>
      </x:c>
      <x:c r="F15" s="29" t="n">
        <x:v>4968</x:v>
      </x:c>
      <x:c r="G15" s="25" t="n">
        <x:f>F15/E15</x:f>
        <x:v>0.3346355920786744</x:v>
      </x:c>
      <x:c r="H15" s="25" t="n">
        <x:v>0.32708892622296226</x:v>
      </x:c>
      <x:c r="I15" s="25" t="n">
        <x:v>0.34226781313242693</x:v>
      </x:c>
      <x:c r="J15" s="24" t="str">
        <x:v>관측</x:v>
      </x:c>
      <x:c r="K15" s="24"/>
    </x:row>
    <x:row r="16" ht="24" customHeight="1">
      <x:c r="A16" s="3"/>
      <x:c r="B16" s="17" t="d">
        <x:v>2013-03-08T00:00:00.000Z</x:v>
      </x:c>
      <x:c r="C16" s="3" t="str">
        <x:v>D+2 학습</x:v>
      </x:c>
      <x:c r="D16" s="3" t="str">
        <x:v>꾸준형</x:v>
      </x:c>
      <x:c r="E16" s="29" t="n">
        <x:v>4602</x:v>
      </x:c>
      <x:c r="F16" s="29" t="n">
        <x:v>2366</x:v>
      </x:c>
      <x:c r="G16" s="25" t="n">
        <x:f>F16/E16</x:f>
        <x:v>0.5141242937853108</x:v>
      </x:c>
      <x:c r="H16" s="25" t="n">
        <x:v>0.4996783906530778</x:v>
      </x:c>
      <x:c r="I16" s="25" t="n">
        <x:v>0.5285466364483298</x:v>
      </x:c>
      <x:c r="J16" s="24" t="str">
        <x:v>관측</x:v>
      </x:c>
      <x:c r="K16" s="24"/>
    </x:row>
    <x:row r="17" ht="24" customHeight="1">
      <x:c r="A17" s="3"/>
      <x:c r="B17" s="17" t="d">
        <x:v>2013-03-08T00:00:00.000Z</x:v>
      </x:c>
      <x:c r="C17" s="3" t="str">
        <x:v>D+2 학습</x:v>
      </x:c>
      <x:c r="D17" s="3" t="str">
        <x:v>습관 형성형</x:v>
      </x:c>
      <x:c r="E17" s="29" t="n">
        <x:v>4106</x:v>
      </x:c>
      <x:c r="F17" s="29" t="n">
        <x:v>1193</x:v>
      </x:c>
      <x:c r="G17" s="25" t="n">
        <x:f>F17/E17</x:f>
        <x:v>0.2905504140282513</x:v>
      </x:c>
      <x:c r="H17" s="25" t="n">
        <x:v>0.2768642427158713</x:v>
      </x:c>
      <x:c r="I17" s="25" t="n">
        <x:v>0.3046281293783193</x:v>
      </x:c>
      <x:c r="J17" s="24" t="str">
        <x:v>관측</x:v>
      </x:c>
      <x:c r="K17" s="24"/>
    </x:row>
    <x:row r="18" ht="24" customHeight="1">
      <x:c r="A18" s="3"/>
      <x:c r="B18" s="17" t="d">
        <x:v>2013-03-08T00:00:00.000Z</x:v>
      </x:c>
      <x:c r="C18" s="3" t="str">
        <x:v>D+2 학습</x:v>
      </x:c>
      <x:c r="D18" s="3" t="str">
        <x:v>최근 단발형</x:v>
      </x:c>
      <x:c r="E18" s="29" t="n">
        <x:v>2636</x:v>
      </x:c>
      <x:c r="F18" s="29" t="n">
        <x:v>586</x:v>
      </x:c>
      <x:c r="G18" s="25" t="n">
        <x:f>F18/E18</x:f>
        <x:v>0.22230652503793627</x:v>
      </x:c>
      <x:c r="H18" s="25" t="n">
        <x:v>0.2068441474905888</x:v>
      </x:c>
      <x:c r="I18" s="25" t="n">
        <x:v>0.2385770935812073</x:v>
      </x:c>
      <x:c r="J18" s="24" t="str">
        <x:v>관측</x:v>
      </x:c>
      <x:c r="K18" s="24"/>
    </x:row>
    <x:row r="19" ht="24" customHeight="1">
      <x:c r="A19" s="3"/>
      <x:c r="B19" s="17" t="d">
        <x:v>2013-03-08T00:00:00.000Z</x:v>
      </x:c>
      <x:c r="C19" s="3" t="str">
        <x:v>D+2 학습</x:v>
      </x:c>
      <x:c r="D19" s="3" t="str">
        <x:v>멈춤-꾸준형</x:v>
      </x:c>
      <x:c r="E19" s="29" t="n">
        <x:v>732</x:v>
      </x:c>
      <x:c r="F19" s="29" t="n">
        <x:v>261</x:v>
      </x:c>
      <x:c r="G19" s="25" t="n">
        <x:f>F19/E19</x:f>
        <x:v>0.35655737704918034</x:v>
      </x:c>
      <x:c r="H19" s="25" t="n">
        <x:v>0.3226901908785984</x:v>
      </x:c>
      <x:c r="I19" s="25" t="n">
        <x:v>0.3919222470553022</x:v>
      </x:c>
      <x:c r="J19" s="24" t="str">
        <x:v>관측</x:v>
      </x:c>
      <x:c r="K19" s="24"/>
    </x:row>
    <x:row r="20" ht="24" customHeight="1">
      <x:c r="A20" s="3"/>
      <x:c r="B20" s="17" t="d">
        <x:v>2013-03-08T00:00:00.000Z</x:v>
      </x:c>
      <x:c r="C20" s="3" t="str">
        <x:v>D+2 학습</x:v>
      </x:c>
      <x:c r="D20" s="3" t="str">
        <x:v>멈춤-몰입형</x:v>
      </x:c>
      <x:c r="E20" s="29" t="n">
        <x:v>924</x:v>
      </x:c>
      <x:c r="F20" s="29" t="n">
        <x:v>214</x:v>
      </x:c>
      <x:c r="G20" s="25" t="n">
        <x:f>F20/E20</x:f>
        <x:v>0.23160173160173161</x:v>
      </x:c>
      <x:c r="H20" s="25" t="n">
        <x:v>0.20554613028960658</x:v>
      </x:c>
      <x:c r="I20" s="25" t="n">
        <x:v>0.25987978349697255</x:v>
      </x:c>
      <x:c r="J20" s="24" t="str">
        <x:v>관측</x:v>
      </x:c>
      <x:c r="K20" s="24"/>
    </x:row>
    <x:row r="21" ht="24" customHeight="1">
      <x:c r="A21" s="3"/>
      <x:c r="B21" s="17" t="d">
        <x:v>2013-03-08T00:00:00.000Z</x:v>
      </x:c>
      <x:c r="C21" s="3" t="str">
        <x:v>D+2 학습</x:v>
      </x:c>
      <x:c r="D21" s="3" t="str">
        <x:v>멈춤-저활동형</x:v>
      </x:c>
      <x:c r="E21" s="29" t="n">
        <x:v>1846</x:v>
      </x:c>
      <x:c r="F21" s="29" t="n">
        <x:v>348</x:v>
      </x:c>
      <x:c r="G21" s="25" t="n">
        <x:f>F21/E21</x:f>
        <x:v>0.18851570964247022</x:v>
      </x:c>
      <x:c r="H21" s="25" t="n">
        <x:v>0.1713272486759151</x:v>
      </x:c>
      <x:c r="I21" s="25" t="n">
        <x:v>0.20699785344762323</x:v>
      </x:c>
      <x:c r="J21" s="24" t="str">
        <x:v>관측</x:v>
      </x:c>
      <x:c r="K21" s="24"/>
    </x:row>
    <x:row r="22" ht="24" customHeight="1">
      <x:c r="A22" s="3"/>
      <x:c r="B22" s="16" t="d">
        <x:v>2013-03-08T00:00:00.000Z</x:v>
      </x:c>
      <x:c r="C22" s="11" t="str">
        <x:v>D+3 학습</x:v>
      </x:c>
      <x:c r="D22" s="11" t="str">
        <x:v>전체</x:v>
      </x:c>
      <x:c r="E22" s="28" t="n">
        <x:v>14846</x:v>
      </x:c>
      <x:c r="F22" s="29" t="n">
        <x:v>5528</x:v>
      </x:c>
      <x:c r="G22" s="25" t="n">
        <x:f>F22/E22</x:f>
        <x:v>0.37235619021958777</x:v>
      </x:c>
      <x:c r="H22" s="25" t="n">
        <x:v>0.3646137335047834</x:v>
      </x:c>
      <x:c r="I22" s="25" t="n">
        <x:v>0.3801646864864437</x:v>
      </x:c>
      <x:c r="J22" s="24" t="str">
        <x:v>관측</x:v>
      </x:c>
      <x:c r="K22" s="24"/>
    </x:row>
    <x:row r="23" ht="24" customHeight="1">
      <x:c r="A23" s="3"/>
      <x:c r="B23" s="17" t="d">
        <x:v>2013-03-08T00:00:00.000Z</x:v>
      </x:c>
      <x:c r="C23" s="3" t="str">
        <x:v>D+3 학습</x:v>
      </x:c>
      <x:c r="D23" s="3" t="str">
        <x:v>꾸준형</x:v>
      </x:c>
      <x:c r="E23" s="29" t="n">
        <x:v>4602</x:v>
      </x:c>
      <x:c r="F23" s="29" t="n">
        <x:v>2585</x:v>
      </x:c>
      <x:c r="G23" s="25" t="n">
        <x:f>F23/E23</x:f>
        <x:v>0.5617122990004346</x:v>
      </x:c>
      <x:c r="H23" s="25" t="n">
        <x:v>0.5473312633717168</x:v>
      </x:c>
      <x:c r="I23" s="25" t="n">
        <x:v>0.575990393502125</x:v>
      </x:c>
      <x:c r="J23" s="24" t="str">
        <x:v>관측</x:v>
      </x:c>
      <x:c r="K23" s="24"/>
    </x:row>
    <x:row r="24" ht="24" customHeight="1">
      <x:c r="A24" s="3"/>
      <x:c r="B24" s="17" t="d">
        <x:v>2013-03-08T00:00:00.000Z</x:v>
      </x:c>
      <x:c r="C24" s="3" t="str">
        <x:v>D+3 학습</x:v>
      </x:c>
      <x:c r="D24" s="3" t="str">
        <x:v>습관 형성형</x:v>
      </x:c>
      <x:c r="E24" s="29" t="n">
        <x:v>4106</x:v>
      </x:c>
      <x:c r="F24" s="29" t="n">
        <x:v>1441</x:v>
      </x:c>
      <x:c r="G24" s="25" t="n">
        <x:f>F24/E24</x:f>
        <x:v>0.35094982951777887</x:v>
      </x:c>
      <x:c r="H24" s="25" t="n">
        <x:v>0.336497073026357</x:v>
      </x:c>
      <x:c r="I24" s="25" t="n">
        <x:v>0.36568121967322986</x:v>
      </x:c>
      <x:c r="J24" s="24" t="str">
        <x:v>관측</x:v>
      </x:c>
      <x:c r="K24" s="24"/>
    </x:row>
    <x:row r="25" ht="24" customHeight="1">
      <x:c r="A25" s="3"/>
      <x:c r="B25" s="17" t="d">
        <x:v>2013-03-08T00:00:00.000Z</x:v>
      </x:c>
      <x:c r="C25" s="3" t="str">
        <x:v>D+3 학습</x:v>
      </x:c>
      <x:c r="D25" s="3" t="str">
        <x:v>최근 단발형</x:v>
      </x:c>
      <x:c r="E25" s="29" t="n">
        <x:v>2636</x:v>
      </x:c>
      <x:c r="F25" s="29" t="n">
        <x:v>690</x:v>
      </x:c>
      <x:c r="G25" s="25" t="n">
        <x:f>F25/E25</x:f>
        <x:v>0.26176024279210924</x:v>
      </x:c>
      <x:c r="H25" s="25" t="n">
        <x:v>0.2453342436591342</x:v>
      </x:c>
      <x:c r="I25" s="25" t="n">
        <x:v>0.2788796079707672</x:v>
      </x:c>
      <x:c r="J25" s="24" t="str">
        <x:v>관측</x:v>
      </x:c>
      <x:c r="K25" s="24"/>
    </x:row>
    <x:row r="26" ht="24" customHeight="1">
      <x:c r="A26" s="3"/>
      <x:c r="B26" s="17" t="d">
        <x:v>2013-03-08T00:00:00.000Z</x:v>
      </x:c>
      <x:c r="C26" s="3" t="str">
        <x:v>D+3 학습</x:v>
      </x:c>
      <x:c r="D26" s="3" t="str">
        <x:v>멈춤-꾸준형</x:v>
      </x:c>
      <x:c r="E26" s="29" t="n">
        <x:v>732</x:v>
      </x:c>
      <x:c r="F26" s="29" t="n">
        <x:v>250</x:v>
      </x:c>
      <x:c r="G26" s="25" t="n">
        <x:f>F26/E26</x:f>
        <x:v>0.34153005464480873</x:v>
      </x:c>
      <x:c r="H26" s="25" t="n">
        <x:v>0.3080833335445908</x:v>
      </x:c>
      <x:c r="I26" s="25" t="n">
        <x:v>0.3766313597919089</x:v>
      </x:c>
      <x:c r="J26" s="24" t="str">
        <x:v>관측</x:v>
      </x:c>
      <x:c r="K26" s="24"/>
    </x:row>
    <x:row r="27" ht="24" customHeight="1">
      <x:c r="A27" s="3"/>
      <x:c r="B27" s="17" t="d">
        <x:v>2013-03-08T00:00:00.000Z</x:v>
      </x:c>
      <x:c r="C27" s="3" t="str">
        <x:v>D+3 학습</x:v>
      </x:c>
      <x:c r="D27" s="3" t="str">
        <x:v>멈춤-몰입형</x:v>
      </x:c>
      <x:c r="E27" s="29" t="n">
        <x:v>924</x:v>
      </x:c>
      <x:c r="F27" s="29" t="n">
        <x:v>214</x:v>
      </x:c>
      <x:c r="G27" s="25" t="n">
        <x:f>F27/E27</x:f>
        <x:v>0.23160173160173161</x:v>
      </x:c>
      <x:c r="H27" s="25" t="n">
        <x:v>0.20554613028960658</x:v>
      </x:c>
      <x:c r="I27" s="25" t="n">
        <x:v>0.25987978349697255</x:v>
      </x:c>
      <x:c r="J27" s="24" t="str">
        <x:v>관측</x:v>
      </x:c>
      <x:c r="K27" s="24"/>
    </x:row>
    <x:row r="28" ht="24" customHeight="1">
      <x:c r="A28" s="3"/>
      <x:c r="B28" s="17" t="d">
        <x:v>2013-03-08T00:00:00.000Z</x:v>
      </x:c>
      <x:c r="C28" s="3" t="str">
        <x:v>D+3 학습</x:v>
      </x:c>
      <x:c r="D28" s="3" t="str">
        <x:v>멈춤-저활동형</x:v>
      </x:c>
      <x:c r="E28" s="29" t="n">
        <x:v>1846</x:v>
      </x:c>
      <x:c r="F28" s="29" t="n">
        <x:v>348</x:v>
      </x:c>
      <x:c r="G28" s="25" t="n">
        <x:f>F28/E28</x:f>
        <x:v>0.18851570964247022</x:v>
      </x:c>
      <x:c r="H28" s="25" t="n">
        <x:v>0.1713272486759151</x:v>
      </x:c>
      <x:c r="I28" s="25" t="n">
        <x:v>0.20699785344762323</x:v>
      </x:c>
      <x:c r="J28" s="24" t="str">
        <x:v>관측</x:v>
      </x:c>
      <x:c r="K28" s="24"/>
    </x:row>
    <x:row r="29" ht="24" customHeight="1">
      <x:c r="A29" s="3"/>
      <x:c r="B29" s="16" t="d">
        <x:v>2013-03-08T00:00:00.000Z</x:v>
      </x:c>
      <x:c r="C29" s="11" t="str">
        <x:v>2일 내 추가 학습</x:v>
      </x:c>
      <x:c r="D29" s="11" t="str">
        <x:v>전체</x:v>
      </x:c>
      <x:c r="E29" s="28" t="n">
        <x:v>14846</x:v>
      </x:c>
      <x:c r="F29" s="29" t="n">
        <x:v>7531</x:v>
      </x:c>
      <x:c r="G29" s="25" t="n">
        <x:f>F29/E29</x:f>
        <x:v>0.507274686784319</x:v>
      </x:c>
      <x:c r="H29" s="25" t="n">
        <x:v>0.4992317833465061</x:v>
      </x:c>
      <x:c r="I29" s="25" t="n">
        <x:v>0.5153138264904054</x:v>
      </x:c>
      <x:c r="J29" s="24" t="str">
        <x:v>관측</x:v>
      </x:c>
      <x:c r="K29" s="24"/>
    </x:row>
    <x:row r="30" ht="24" customHeight="1">
      <x:c r="A30" s="3"/>
      <x:c r="B30" s="17" t="d">
        <x:v>2013-03-08T00:00:00.000Z</x:v>
      </x:c>
      <x:c r="C30" s="3" t="str">
        <x:v>2일 내 추가 학습</x:v>
      </x:c>
      <x:c r="D30" s="3" t="str">
        <x:v>꾸준형</x:v>
      </x:c>
      <x:c r="E30" s="29" t="n">
        <x:v>4602</x:v>
      </x:c>
      <x:c r="F30" s="29" t="n">
        <x:v>3250</x:v>
      </x:c>
      <x:c r="G30" s="25" t="n">
        <x:f>F30/E30</x:f>
        <x:v>0.7062146892655368</x:v>
      </x:c>
      <x:c r="H30" s="25" t="n">
        <x:v>0.6928869927934967</x:v>
      </x:c>
      <x:c r="I30" s="25" t="n">
        <x:v>0.7191984028870518</x:v>
      </x:c>
      <x:c r="J30" s="24" t="str">
        <x:v>관측</x:v>
      </x:c>
      <x:c r="K30" s="24"/>
    </x:row>
    <x:row r="31" ht="24" customHeight="1">
      <x:c r="A31" s="3"/>
      <x:c r="B31" s="17" t="d">
        <x:v>2013-03-08T00:00:00.000Z</x:v>
      </x:c>
      <x:c r="C31" s="3" t="str">
        <x:v>2일 내 추가 학습</x:v>
      </x:c>
      <x:c r="D31" s="3" t="str">
        <x:v>습관 형성형</x:v>
      </x:c>
      <x:c r="E31" s="29" t="n">
        <x:v>4106</x:v>
      </x:c>
      <x:c r="F31" s="29" t="n">
        <x:v>1941</x:v>
      </x:c>
      <x:c r="G31" s="25" t="n">
        <x:f>F31/E31</x:f>
        <x:v>0.47272284461763275</x:v>
      </x:c>
      <x:c r="H31" s="25" t="n">
        <x:v>0.4574846716531528</x:v>
      </x:c>
      <x:c r="I31" s="25" t="n">
        <x:v>0.48801200936376515</x:v>
      </x:c>
      <x:c r="J31" s="24" t="str">
        <x:v>관측</x:v>
      </x:c>
      <x:c r="K31" s="24"/>
    </x:row>
    <x:row r="32" ht="24" customHeight="1">
      <x:c r="A32" s="3"/>
      <x:c r="B32" s="17" t="d">
        <x:v>2013-03-08T00:00:00.000Z</x:v>
      </x:c>
      <x:c r="C32" s="3" t="str">
        <x:v>2일 내 추가 학습</x:v>
      </x:c>
      <x:c r="D32" s="3" t="str">
        <x:v>최근 단발형</x:v>
      </x:c>
      <x:c r="E32" s="29" t="n">
        <x:v>2636</x:v>
      </x:c>
      <x:c r="F32" s="29" t="n">
        <x:v>1006</x:v>
      </x:c>
      <x:c r="G32" s="25" t="n">
        <x:f>F32/E32</x:f>
        <x:v>0.38163884673748105</x:v>
      </x:c>
      <x:c r="H32" s="25" t="n">
        <x:v>0.36327895524569886</x:v>
      </x:c>
      <x:c r="I32" s="25" t="n">
        <x:v>0.40034321307998477</x:v>
      </x:c>
      <x:c r="J32" s="24" t="str">
        <x:v>관측</x:v>
      </x:c>
      <x:c r="K32" s="24"/>
    </x:row>
    <x:row r="33" ht="24" customHeight="1">
      <x:c r="A33" s="3"/>
      <x:c r="B33" s="17" t="d">
        <x:v>2013-03-08T00:00:00.000Z</x:v>
      </x:c>
      <x:c r="C33" s="3" t="str">
        <x:v>2일 내 추가 학습</x:v>
      </x:c>
      <x:c r="D33" s="3" t="str">
        <x:v>멈춤-꾸준형</x:v>
      </x:c>
      <x:c r="E33" s="29" t="n">
        <x:v>732</x:v>
      </x:c>
      <x:c r="F33" s="29" t="n">
        <x:v>410</x:v>
      </x:c>
      <x:c r="G33" s="25" t="n">
        <x:f>F33/E33</x:f>
        <x:v>0.5601092896174863</x:v>
      </x:c>
      <x:c r="H33" s="25" t="n">
        <x:v>0.52392961913046</x:v>
      </x:c>
      <x:c r="I33" s="25" t="n">
        <x:v>0.5956613592591434</x:v>
      </x:c>
      <x:c r="J33" s="24" t="str">
        <x:v>관측</x:v>
      </x:c>
      <x:c r="K33" s="24"/>
    </x:row>
    <x:row r="34" ht="24" customHeight="1">
      <x:c r="A34" s="3"/>
      <x:c r="B34" s="17" t="d">
        <x:v>2013-03-08T00:00:00.000Z</x:v>
      </x:c>
      <x:c r="C34" s="3" t="str">
        <x:v>2일 내 추가 학습</x:v>
      </x:c>
      <x:c r="D34" s="3" t="str">
        <x:v>멈춤-몰입형</x:v>
      </x:c>
      <x:c r="E34" s="29" t="n">
        <x:v>924</x:v>
      </x:c>
      <x:c r="F34" s="29" t="n">
        <x:v>356</x:v>
      </x:c>
      <x:c r="G34" s="25" t="n">
        <x:f>F34/E34</x:f>
        <x:v>0.3852813852813853</x:v>
      </x:c>
      <x:c r="H34" s="25" t="n">
        <x:v>0.35443875333224756</x:v>
      </x:c>
      <x:c r="I34" s="25" t="n">
        <x:v>0.4170739356249193</x:v>
      </x:c>
      <x:c r="J34" s="24" t="str">
        <x:v>관측</x:v>
      </x:c>
      <x:c r="K34" s="24"/>
    </x:row>
    <x:row r="35" ht="24" customHeight="1">
      <x:c r="A35" s="3"/>
      <x:c r="B35" s="17" t="d">
        <x:v>2013-03-08T00:00:00.000Z</x:v>
      </x:c>
      <x:c r="C35" s="3" t="str">
        <x:v>2일 내 추가 학습</x:v>
      </x:c>
      <x:c r="D35" s="3" t="str">
        <x:v>멈춤-저활동형</x:v>
      </x:c>
      <x:c r="E35" s="29" t="n">
        <x:v>1846</x:v>
      </x:c>
      <x:c r="F35" s="29" t="n">
        <x:v>568</x:v>
      </x:c>
      <x:c r="G35" s="25" t="n">
        <x:f>F35/E35</x:f>
        <x:v>0.3076923076923077</x:v>
      </x:c>
      <x:c r="H35" s="25" t="n">
        <x:v>0.2870554756596143</x:v>
      </x:c>
      <x:c r="I35" s="25" t="n">
        <x:v>0.3291278482601354</x:v>
      </x:c>
      <x:c r="J35" s="24" t="str">
        <x:v>관측</x:v>
      </x:c>
      <x:c r="K35" s="24"/>
    </x:row>
    <x:row r="36" ht="24" customHeight="1">
      <x:c r="A36" s="3"/>
      <x:c r="B36" s="16" t="d">
        <x:v>2013-03-09T00:00:00.000Z</x:v>
      </x:c>
      <x:c r="C36" s="11" t="str">
        <x:v>D+1 학습</x:v>
      </x:c>
      <x:c r="D36" s="11" t="str">
        <x:v>전체</x:v>
      </x:c>
      <x:c r="E36" s="28" t="n">
        <x:v>6241</x:v>
      </x:c>
      <x:c r="F36" s="29" t="n">
        <x:v>2057</x:v>
      </x:c>
      <x:c r="G36" s="25" t="n">
        <x:f>F36/E36</x:f>
        <x:v>0.3295946162473963</x:v>
      </x:c>
      <x:c r="H36" s="25" t="n">
        <x:v>0.3180403742457489</x:v>
      </x:c>
      <x:c r="I36" s="25" t="n">
        <x:v>0.3413585049690852</x:v>
      </x:c>
      <x:c r="J36" s="24" t="str">
        <x:v>관측</x:v>
      </x:c>
      <x:c r="K36" s="24"/>
    </x:row>
    <x:row r="37" ht="24" customHeight="1">
      <x:c r="A37" s="3"/>
      <x:c r="B37" s="17" t="d">
        <x:v>2013-03-09T00:00:00.000Z</x:v>
      </x:c>
      <x:c r="C37" s="3" t="str">
        <x:v>D+1 학습</x:v>
      </x:c>
      <x:c r="D37" s="3" t="str">
        <x:v>꾸준형</x:v>
      </x:c>
      <x:c r="E37" s="29" t="n">
        <x:v>1295</x:v>
      </x:c>
      <x:c r="F37" s="29" t="n">
        <x:v>635</x:v>
      </x:c>
      <x:c r="G37" s="25" t="n">
        <x:f>F37/E37</x:f>
        <x:v>0.49034749034749037</x:v>
      </x:c>
      <x:c r="H37" s="25" t="n">
        <x:v>0.46318916173010993</x:v>
      </x:c>
      <x:c r="I37" s="25" t="n">
        <x:v>0.5175629155690707</x:v>
      </x:c>
      <x:c r="J37" s="24" t="str">
        <x:v>관측</x:v>
      </x:c>
      <x:c r="K37" s="24"/>
    </x:row>
    <x:row r="38" ht="24" customHeight="1">
      <x:c r="A38" s="3"/>
      <x:c r="B38" s="17" t="d">
        <x:v>2013-03-09T00:00:00.000Z</x:v>
      </x:c>
      <x:c r="C38" s="3" t="str">
        <x:v>D+1 학습</x:v>
      </x:c>
      <x:c r="D38" s="3" t="str">
        <x:v>습관 형성형</x:v>
      </x:c>
      <x:c r="E38" s="29" t="n">
        <x:v>1573</x:v>
      </x:c>
      <x:c r="F38" s="29" t="n">
        <x:v>500</x:v>
      </x:c>
      <x:c r="G38" s="25" t="n">
        <x:f>F38/E38</x:f>
        <x:v>0.3178639542275906</x:v>
      </x:c>
      <x:c r="H38" s="25" t="n">
        <x:v>0.295320201181164</x:v>
      </x:c>
      <x:c r="I38" s="25" t="n">
        <x:v>0.34129513716201887</x:v>
      </x:c>
      <x:c r="J38" s="24" t="str">
        <x:v>관측</x:v>
      </x:c>
      <x:c r="K38" s="24"/>
    </x:row>
    <x:row r="39" ht="24" customHeight="1">
      <x:c r="A39" s="3"/>
      <x:c r="B39" s="17" t="d">
        <x:v>2013-03-09T00:00:00.000Z</x:v>
      </x:c>
      <x:c r="C39" s="3" t="str">
        <x:v>D+1 학습</x:v>
      </x:c>
      <x:c r="D39" s="3" t="str">
        <x:v>최근 단발형</x:v>
      </x:c>
      <x:c r="E39" s="29" t="n">
        <x:v>1041</x:v>
      </x:c>
      <x:c r="F39" s="29" t="n">
        <x:v>247</x:v>
      </x:c>
      <x:c r="G39" s="25" t="n">
        <x:f>F39/E39</x:f>
        <x:v>0.2372718539865514</x:v>
      </x:c>
      <x:c r="H39" s="25" t="n">
        <x:v>0.21242499490731212</x:v>
      </x:c>
      <x:c r="I39" s="25" t="n">
        <x:v>0.2640506030102941</x:v>
      </x:c>
      <x:c r="J39" s="24" t="str">
        <x:v>관측</x:v>
      </x:c>
      <x:c r="K39" s="24"/>
    </x:row>
    <x:row r="40" ht="24" customHeight="1">
      <x:c r="A40" s="3"/>
      <x:c r="B40" s="17" t="d">
        <x:v>2013-03-09T00:00:00.000Z</x:v>
      </x:c>
      <x:c r="C40" s="3" t="str">
        <x:v>D+1 학습</x:v>
      </x:c>
      <x:c r="D40" s="3" t="str">
        <x:v>멈춤-꾸준형</x:v>
      </x:c>
      <x:c r="E40" s="29" t="n">
        <x:v>426</x:v>
      </x:c>
      <x:c r="F40" s="29" t="n">
        <x:v>157</x:v>
      </x:c>
      <x:c r="G40" s="25" t="n">
        <x:f>F40/E40</x:f>
        <x:v>0.3685446009389671</x:v>
      </x:c>
      <x:c r="H40" s="25" t="n">
        <x:v>0.32409950405312987</x:v>
      </x:c>
      <x:c r="I40" s="25" t="n">
        <x:v>0.4153393106501298</x:v>
      </x:c>
      <x:c r="J40" s="24" t="str">
        <x:v>관측</x:v>
      </x:c>
      <x:c r="K40" s="24"/>
    </x:row>
    <x:row r="41" ht="24" customHeight="1">
      <x:c r="A41" s="3"/>
      <x:c r="B41" s="17" t="d">
        <x:v>2013-03-09T00:00:00.000Z</x:v>
      </x:c>
      <x:c r="C41" s="3" t="str">
        <x:v>D+1 학습</x:v>
      </x:c>
      <x:c r="D41" s="3" t="str">
        <x:v>멈춤-몰입형</x:v>
      </x:c>
      <x:c r="E41" s="29" t="n">
        <x:v>602</x:v>
      </x:c>
      <x:c r="F41" s="29" t="n">
        <x:v>178</x:v>
      </x:c>
      <x:c r="G41" s="25" t="n">
        <x:f>F41/E41</x:f>
        <x:v>0.2956810631229236</x:v>
      </x:c>
      <x:c r="H41" s="25" t="n">
        <x:v>0.2606151657909758</x:v>
      </x:c>
      <x:c r="I41" s="25" t="n">
        <x:v>0.3333380105418993</x:v>
      </x:c>
      <x:c r="J41" s="24" t="str">
        <x:v>관측</x:v>
      </x:c>
      <x:c r="K41" s="24"/>
    </x:row>
    <x:row r="42" ht="24" customHeight="1">
      <x:c r="A42" s="3"/>
      <x:c r="B42" s="17" t="d">
        <x:v>2013-03-09T00:00:00.000Z</x:v>
      </x:c>
      <x:c r="C42" s="3" t="str">
        <x:v>D+1 학습</x:v>
      </x:c>
      <x:c r="D42" s="3" t="str">
        <x:v>멈춤-저활동형</x:v>
      </x:c>
      <x:c r="E42" s="29" t="n">
        <x:v>1304</x:v>
      </x:c>
      <x:c r="F42" s="29" t="n">
        <x:v>340</x:v>
      </x:c>
      <x:c r="G42" s="25" t="n">
        <x:f>F42/E42</x:f>
        <x:v>0.2607361963190184</x:v>
      </x:c>
      <x:c r="H42" s="25" t="n">
        <x:v>0.23763440796324153</x:v>
      </x:c>
      <x:c r="I42" s="25" t="n">
        <x:v>0.28524354043680933</x:v>
      </x:c>
      <x:c r="J42" s="24" t="str">
        <x:v>관측</x:v>
      </x:c>
      <x:c r="K42" s="24"/>
    </x:row>
    <x:row r="43" ht="24" customHeight="1">
      <x:c r="A43" s="3"/>
      <x:c r="B43" s="16" t="d">
        <x:v>2013-03-09T00:00:00.000Z</x:v>
      </x:c>
      <x:c r="C43" s="11" t="str">
        <x:v>D+2 학습</x:v>
      </x:c>
      <x:c r="D43" s="11" t="str">
        <x:v>전체</x:v>
      </x:c>
      <x:c r="E43" s="28" t="n">
        <x:v>6241</x:v>
      </x:c>
      <x:c r="F43" s="29" t="n">
        <x:v>1827</x:v>
      </x:c>
      <x:c r="G43" s="25" t="n">
        <x:f>F43/E43</x:f>
        <x:v>0.29274154782887357</x:v>
      </x:c>
      <x:c r="H43" s="25" t="n">
        <x:v>0.2815828772112737</x:v>
      </x:c>
      <x:c r="I43" s="25" t="n">
        <x:v>0.3041552048426875</x:v>
      </x:c>
      <x:c r="J43" s="24" t="str">
        <x:v>관측</x:v>
      </x:c>
      <x:c r="K43" s="24"/>
    </x:row>
    <x:row r="44" ht="24" customHeight="1">
      <x:c r="A44" s="3"/>
      <x:c r="B44" s="17" t="d">
        <x:v>2013-03-09T00:00:00.000Z</x:v>
      </x:c>
      <x:c r="C44" s="3" t="str">
        <x:v>D+2 학습</x:v>
      </x:c>
      <x:c r="D44" s="3" t="str">
        <x:v>꾸준형</x:v>
      </x:c>
      <x:c r="E44" s="29" t="n">
        <x:v>1295</x:v>
      </x:c>
      <x:c r="F44" s="29" t="n">
        <x:v>604</x:v>
      </x:c>
      <x:c r="G44" s="25" t="n">
        <x:f>F44/E44</x:f>
        <x:v>0.4664092664092664</x:v>
      </x:c>
      <x:c r="H44" s="25" t="n">
        <x:v>0.4393779359398312</x:v>
      </x:c>
      <x:c r="I44" s="25" t="n">
        <x:v>0.4936392930613177</x:v>
      </x:c>
      <x:c r="J44" s="24" t="str">
        <x:v>관측</x:v>
      </x:c>
      <x:c r="K44" s="24"/>
    </x:row>
    <x:row r="45" ht="24" customHeight="1">
      <x:c r="A45" s="3"/>
      <x:c r="B45" s="17" t="d">
        <x:v>2013-03-09T00:00:00.000Z</x:v>
      </x:c>
      <x:c r="C45" s="3" t="str">
        <x:v>D+2 학습</x:v>
      </x:c>
      <x:c r="D45" s="3" t="str">
        <x:v>습관 형성형</x:v>
      </x:c>
      <x:c r="E45" s="29" t="n">
        <x:v>1573</x:v>
      </x:c>
      <x:c r="F45" s="29" t="n">
        <x:v>466</x:v>
      </x:c>
      <x:c r="G45" s="25" t="n">
        <x:f>F45/E45</x:f>
        <x:v>0.29624920534011445</x:v>
      </x:c>
      <x:c r="H45" s="25" t="n">
        <x:v>0.27420331859174846</x:v>
      </x:c>
      <x:c r="I45" s="25" t="n">
        <x:v>0.31928783651816456</x:v>
      </x:c>
      <x:c r="J45" s="24" t="str">
        <x:v>관측</x:v>
      </x:c>
      <x:c r="K45" s="24"/>
    </x:row>
    <x:row r="46" ht="24" customHeight="1">
      <x:c r="A46" s="3"/>
      <x:c r="B46" s="17" t="d">
        <x:v>2013-03-09T00:00:00.000Z</x:v>
      </x:c>
      <x:c r="C46" s="3" t="str">
        <x:v>D+2 학습</x:v>
      </x:c>
      <x:c r="D46" s="3" t="str">
        <x:v>최근 단발형</x:v>
      </x:c>
      <x:c r="E46" s="29" t="n">
        <x:v>1041</x:v>
      </x:c>
      <x:c r="F46" s="29" t="n">
        <x:v>246</x:v>
      </x:c>
      <x:c r="G46" s="25" t="n">
        <x:f>F46/E46</x:f>
        <x:v>0.23631123919308358</x:v>
      </x:c>
      <x:c r="H46" s="25" t="n">
        <x:v>0.21150381750577923</x:v>
      </x:c>
      <x:c r="I46" s="25" t="n">
        <x:v>0.2630576144078694</x:v>
      </x:c>
      <x:c r="J46" s="24" t="str">
        <x:v>관측</x:v>
      </x:c>
      <x:c r="K46" s="24"/>
    </x:row>
    <x:row r="47" ht="24" customHeight="1">
      <x:c r="A47" s="3"/>
      <x:c r="B47" s="17" t="d">
        <x:v>2013-03-09T00:00:00.000Z</x:v>
      </x:c>
      <x:c r="C47" s="3" t="str">
        <x:v>D+2 학습</x:v>
      </x:c>
      <x:c r="D47" s="3" t="str">
        <x:v>멈춤-꾸준형</x:v>
      </x:c>
      <x:c r="E47" s="29" t="n">
        <x:v>426</x:v>
      </x:c>
      <x:c r="F47" s="29" t="n">
        <x:v>140</x:v>
      </x:c>
      <x:c r="G47" s="25" t="n">
        <x:f>F47/E47</x:f>
        <x:v>0.3286384976525822</x:v>
      </x:c>
      <x:c r="H47" s="25" t="n">
        <x:v>0.2857385922488374</x:v>
      </x:c>
      <x:c r="I47" s="25" t="n">
        <x:v>0.37460129120362623</x:v>
      </x:c>
      <x:c r="J47" s="24" t="str">
        <x:v>관측</x:v>
      </x:c>
      <x:c r="K47" s="24"/>
    </x:row>
    <x:row r="48" ht="24" customHeight="1">
      <x:c r="A48" s="3"/>
      <x:c r="B48" s="17" t="d">
        <x:v>2013-03-09T00:00:00.000Z</x:v>
      </x:c>
      <x:c r="C48" s="3" t="str">
        <x:v>D+2 학습</x:v>
      </x:c>
      <x:c r="D48" s="3" t="str">
        <x:v>멈춤-몰입형</x:v>
      </x:c>
      <x:c r="E48" s="29" t="n">
        <x:v>602</x:v>
      </x:c>
      <x:c r="F48" s="29" t="n">
        <x:v>135</x:v>
      </x:c>
      <x:c r="G48" s="25" t="n">
        <x:f>F48/E48</x:f>
        <x:v>0.22425249169435216</x:v>
      </x:c>
      <x:c r="H48" s="25" t="n">
        <x:v>0.1927427496587835</x:v>
      </x:c>
      <x:c r="I48" s="25" t="n">
        <x:v>0.2592590980750156</x:v>
      </x:c>
      <x:c r="J48" s="24" t="str">
        <x:v>관측</x:v>
      </x:c>
      <x:c r="K48" s="24"/>
    </x:row>
    <x:row r="49" ht="24" customHeight="1">
      <x:c r="A49" s="3"/>
      <x:c r="B49" s="17" t="d">
        <x:v>2013-03-09T00:00:00.000Z</x:v>
      </x:c>
      <x:c r="C49" s="3" t="str">
        <x:v>D+2 학습</x:v>
      </x:c>
      <x:c r="D49" s="3" t="str">
        <x:v>멈춤-저활동형</x:v>
      </x:c>
      <x:c r="E49" s="29" t="n">
        <x:v>1304</x:v>
      </x:c>
      <x:c r="F49" s="29" t="n">
        <x:v>236</x:v>
      </x:c>
      <x:c r="G49" s="25" t="n">
        <x:f>F49/E49</x:f>
        <x:v>0.18098159509202455</x:v>
      </x:c>
      <x:c r="H49" s="25" t="n">
        <x:v>0.1610318249523669</x:v>
      </x:c>
      <x:c r="I49" s="25" t="n">
        <x:v>0.20280543958103425</x:v>
      </x:c>
      <x:c r="J49" s="24" t="str">
        <x:v>관측</x:v>
      </x:c>
      <x:c r="K49" s="24"/>
    </x:row>
    <x:row r="50" ht="24" customHeight="1">
      <x:c r="A50" s="3"/>
      <x:c r="B50" s="16" t="d">
        <x:v>2013-03-09T00:00:00.000Z</x:v>
      </x:c>
      <x:c r="C50" s="11" t="str">
        <x:v>D+3 학습</x:v>
      </x:c>
      <x:c r="D50" s="11" t="str">
        <x:v>전체</x:v>
      </x:c>
      <x:c r="E50" s="28" t="n">
        <x:v>6241</x:v>
      </x:c>
      <x:c r="F50" s="30"/>
      <x:c r="G50" s="31"/>
      <x:c r="H50" s="31"/>
      <x:c r="I50" s="31"/>
      <x:c r="J50" s="32" t="str">
        <x:v>미관측</x:v>
      </x:c>
      <x:c r="K50" s="24"/>
    </x:row>
    <x:row r="51" ht="24" customHeight="1">
      <x:c r="A51" s="3"/>
      <x:c r="B51" s="17" t="d">
        <x:v>2013-03-09T00:00:00.000Z</x:v>
      </x:c>
      <x:c r="C51" s="3" t="str">
        <x:v>D+3 학습</x:v>
      </x:c>
      <x:c r="D51" s="3" t="str">
        <x:v>꾸준형</x:v>
      </x:c>
      <x:c r="E51" s="29" t="n">
        <x:v>1295</x:v>
      </x:c>
      <x:c r="F51" s="30"/>
      <x:c r="G51" s="31"/>
      <x:c r="H51" s="31"/>
      <x:c r="I51" s="31"/>
      <x:c r="J51" s="32" t="str">
        <x:v>미관측</x:v>
      </x:c>
      <x:c r="K51" s="24"/>
    </x:row>
    <x:row r="52" ht="24" customHeight="1">
      <x:c r="A52" s="3"/>
      <x:c r="B52" s="17" t="d">
        <x:v>2013-03-09T00:00:00.000Z</x:v>
      </x:c>
      <x:c r="C52" s="3" t="str">
        <x:v>D+3 학습</x:v>
      </x:c>
      <x:c r="D52" s="3" t="str">
        <x:v>습관 형성형</x:v>
      </x:c>
      <x:c r="E52" s="29" t="n">
        <x:v>1573</x:v>
      </x:c>
      <x:c r="F52" s="30"/>
      <x:c r="G52" s="31"/>
      <x:c r="H52" s="31"/>
      <x:c r="I52" s="31"/>
      <x:c r="J52" s="32" t="str">
        <x:v>미관측</x:v>
      </x:c>
      <x:c r="K52" s="24"/>
    </x:row>
    <x:row r="53" ht="24" customHeight="1">
      <x:c r="A53" s="3"/>
      <x:c r="B53" s="17" t="d">
        <x:v>2013-03-09T00:00:00.000Z</x:v>
      </x:c>
      <x:c r="C53" s="3" t="str">
        <x:v>D+3 학습</x:v>
      </x:c>
      <x:c r="D53" s="3" t="str">
        <x:v>최근 단발형</x:v>
      </x:c>
      <x:c r="E53" s="29" t="n">
        <x:v>1041</x:v>
      </x:c>
      <x:c r="F53" s="30"/>
      <x:c r="G53" s="31"/>
      <x:c r="H53" s="31"/>
      <x:c r="I53" s="31"/>
      <x:c r="J53" s="32" t="str">
        <x:v>미관측</x:v>
      </x:c>
      <x:c r="K53" s="24"/>
    </x:row>
    <x:row r="54" ht="24" customHeight="1">
      <x:c r="A54" s="3"/>
      <x:c r="B54" s="17" t="d">
        <x:v>2013-03-09T00:00:00.000Z</x:v>
      </x:c>
      <x:c r="C54" s="3" t="str">
        <x:v>D+3 학습</x:v>
      </x:c>
      <x:c r="D54" s="3" t="str">
        <x:v>멈춤-꾸준형</x:v>
      </x:c>
      <x:c r="E54" s="29" t="n">
        <x:v>426</x:v>
      </x:c>
      <x:c r="F54" s="30"/>
      <x:c r="G54" s="31"/>
      <x:c r="H54" s="31"/>
      <x:c r="I54" s="31"/>
      <x:c r="J54" s="32" t="str">
        <x:v>미관측</x:v>
      </x:c>
      <x:c r="K54" s="24"/>
    </x:row>
    <x:row r="55" ht="24" customHeight="1">
      <x:c r="A55" s="3"/>
      <x:c r="B55" s="17" t="d">
        <x:v>2013-03-09T00:00:00.000Z</x:v>
      </x:c>
      <x:c r="C55" s="3" t="str">
        <x:v>D+3 학습</x:v>
      </x:c>
      <x:c r="D55" s="3" t="str">
        <x:v>멈춤-몰입형</x:v>
      </x:c>
      <x:c r="E55" s="29" t="n">
        <x:v>602</x:v>
      </x:c>
      <x:c r="F55" s="30"/>
      <x:c r="G55" s="31"/>
      <x:c r="H55" s="31"/>
      <x:c r="I55" s="31"/>
      <x:c r="J55" s="32" t="str">
        <x:v>미관측</x:v>
      </x:c>
      <x:c r="K55" s="24"/>
    </x:row>
    <x:row r="56" ht="24" customHeight="1">
      <x:c r="A56" s="3"/>
      <x:c r="B56" s="17" t="d">
        <x:v>2013-03-09T00:00:00.000Z</x:v>
      </x:c>
      <x:c r="C56" s="3" t="str">
        <x:v>D+3 학습</x:v>
      </x:c>
      <x:c r="D56" s="3" t="str">
        <x:v>멈춤-저활동형</x:v>
      </x:c>
      <x:c r="E56" s="29" t="n">
        <x:v>1304</x:v>
      </x:c>
      <x:c r="F56" s="30"/>
      <x:c r="G56" s="31"/>
      <x:c r="H56" s="31"/>
      <x:c r="I56" s="31"/>
      <x:c r="J56" s="32" t="str">
        <x:v>미관측</x:v>
      </x:c>
      <x:c r="K56" s="24"/>
    </x:row>
    <x:row r="57" ht="24" customHeight="1">
      <x:c r="A57" s="3"/>
      <x:c r="B57" s="16" t="d">
        <x:v>2013-03-09T00:00:00.000Z</x:v>
      </x:c>
      <x:c r="C57" s="11" t="str">
        <x:v>2일 내 추가 학습</x:v>
      </x:c>
      <x:c r="D57" s="11" t="str">
        <x:v>전체</x:v>
      </x:c>
      <x:c r="E57" s="28" t="n">
        <x:v>6241</x:v>
      </x:c>
      <x:c r="F57" s="29" t="n">
        <x:v>3007</x:v>
      </x:c>
      <x:c r="G57" s="25" t="n">
        <x:f>F57/E57</x:f>
        <x:v>0.4818138118891203</x:v>
      </x:c>
      <x:c r="H57" s="25" t="n">
        <x:v>0.4694321801936057</x:v>
      </x:c>
      <x:c r="I57" s="25" t="n">
        <x:v>0.494217817729181</x:v>
      </x:c>
      <x:c r="J57" s="24" t="str">
        <x:v>관측</x:v>
      </x:c>
      <x:c r="K57" s="24"/>
    </x:row>
    <x:row r="58" ht="24" customHeight="1">
      <x:c r="A58" s="3"/>
      <x:c r="B58" s="17" t="d">
        <x:v>2013-03-09T00:00:00.000Z</x:v>
      </x:c>
      <x:c r="C58" s="3" t="str">
        <x:v>2일 내 추가 학습</x:v>
      </x:c>
      <x:c r="D58" s="3" t="str">
        <x:v>꾸준형</x:v>
      </x:c>
      <x:c r="E58" s="29" t="n">
        <x:v>1295</x:v>
      </x:c>
      <x:c r="F58" s="29" t="n">
        <x:v>902</x:v>
      </x:c>
      <x:c r="G58" s="25" t="n">
        <x:f>F58/E58</x:f>
        <x:v>0.6965250965250965</x:v>
      </x:c>
      <x:c r="H58" s="25" t="n">
        <x:v>0.6709336562342039</x:v>
      </x:c>
      <x:c r="I58" s="25" t="n">
        <x:v>0.7209540499544755</x:v>
      </x:c>
      <x:c r="J58" s="24" t="str">
        <x:v>관측</x:v>
      </x:c>
      <x:c r="K58" s="24"/>
    </x:row>
    <x:row r="59" ht="24" customHeight="1">
      <x:c r="A59" s="3"/>
      <x:c r="B59" s="17" t="d">
        <x:v>2013-03-09T00:00:00.000Z</x:v>
      </x:c>
      <x:c r="C59" s="3" t="str">
        <x:v>2일 내 추가 학습</x:v>
      </x:c>
      <x:c r="D59" s="3" t="str">
        <x:v>습관 형성형</x:v>
      </x:c>
      <x:c r="E59" s="29" t="n">
        <x:v>1573</x:v>
      </x:c>
      <x:c r="F59" s="29" t="n">
        <x:v>763</x:v>
      </x:c>
      <x:c r="G59" s="25" t="n">
        <x:f>F59/E59</x:f>
        <x:v>0.48506039415130325</x:v>
      </x:c>
      <x:c r="H59" s="25" t="n">
        <x:v>0.46042897906014524</x:v>
      </x:c>
      <x:c r="I59" s="25" t="n">
        <x:v>0.509764600175683</x:v>
      </x:c>
      <x:c r="J59" s="24" t="str">
        <x:v>관측</x:v>
      </x:c>
      <x:c r="K59" s="24"/>
    </x:row>
    <x:row r="60" ht="24" customHeight="1">
      <x:c r="A60" s="3"/>
      <x:c r="B60" s="17" t="d">
        <x:v>2013-03-09T00:00:00.000Z</x:v>
      </x:c>
      <x:c r="C60" s="3" t="str">
        <x:v>2일 내 추가 학습</x:v>
      </x:c>
      <x:c r="D60" s="3" t="str">
        <x:v>최근 단발형</x:v>
      </x:c>
      <x:c r="E60" s="29" t="n">
        <x:v>1041</x:v>
      </x:c>
      <x:c r="F60" s="29" t="n">
        <x:v>400</x:v>
      </x:c>
      <x:c r="G60" s="25" t="n">
        <x:f>F60/E60</x:f>
        <x:v>0.38424591738712777</x:v>
      </x:c>
      <x:c r="H60" s="25" t="n">
        <x:v>0.35517459790905326</x:v>
      </x:c>
      <x:c r="I60" s="25" t="n">
        <x:v>0.4141683986140602</x:v>
      </x:c>
      <x:c r="J60" s="24" t="str">
        <x:v>관측</x:v>
      </x:c>
      <x:c r="K60" s="24"/>
    </x:row>
    <x:row r="61" ht="24" customHeight="1">
      <x:c r="A61" s="3"/>
      <x:c r="B61" s="17" t="d">
        <x:v>2013-03-09T00:00:00.000Z</x:v>
      </x:c>
      <x:c r="C61" s="3" t="str">
        <x:v>2일 내 추가 학습</x:v>
      </x:c>
      <x:c r="D61" s="3" t="str">
        <x:v>멈춤-꾸준형</x:v>
      </x:c>
      <x:c r="E61" s="29" t="n">
        <x:v>426</x:v>
      </x:c>
      <x:c r="F61" s="29" t="n">
        <x:v>223</x:v>
      </x:c>
      <x:c r="G61" s="25" t="n">
        <x:f>F61/E61</x:f>
        <x:v>0.5234741784037559</x:v>
      </x:c>
      <x:c r="H61" s="25" t="n">
        <x:v>0.4760484039022907</x:v>
      </x:c>
      <x:c r="I61" s="25" t="n">
        <x:v>0.5704803791864128</x:v>
      </x:c>
      <x:c r="J61" s="24" t="str">
        <x:v>관측</x:v>
      </x:c>
      <x:c r="K61" s="24"/>
    </x:row>
    <x:row r="62" ht="24" customHeight="1">
      <x:c r="A62" s="3"/>
      <x:c r="B62" s="17" t="d">
        <x:v>2013-03-09T00:00:00.000Z</x:v>
      </x:c>
      <x:c r="C62" s="3" t="str">
        <x:v>2일 내 추가 학습</x:v>
      </x:c>
      <x:c r="D62" s="3" t="str">
        <x:v>멈춤-몰입형</x:v>
      </x:c>
      <x:c r="E62" s="29" t="n">
        <x:v>602</x:v>
      </x:c>
      <x:c r="F62" s="29" t="n">
        <x:v>255</x:v>
      </x:c>
      <x:c r="G62" s="25" t="n">
        <x:f>F62/E62</x:f>
        <x:v>0.42358803986710963</x:v>
      </x:c>
      <x:c r="H62" s="25" t="n">
        <x:v>0.38472298739059385</x:v>
      </x:c>
      <x:c r="I62" s="25" t="n">
        <x:v>0.4634221029452781</x:v>
      </x:c>
      <x:c r="J62" s="24" t="str">
        <x:v>관측</x:v>
      </x:c>
      <x:c r="K62" s="24"/>
    </x:row>
    <x:row r="63" ht="24" customHeight="1">
      <x:c r="A63" s="3"/>
      <x:c r="B63" s="17" t="d">
        <x:v>2013-03-09T00:00:00.000Z</x:v>
      </x:c>
      <x:c r="C63" s="3" t="str">
        <x:v>2일 내 추가 학습</x:v>
      </x:c>
      <x:c r="D63" s="3" t="str">
        <x:v>멈춤-저활동형</x:v>
      </x:c>
      <x:c r="E63" s="29" t="n">
        <x:v>1304</x:v>
      </x:c>
      <x:c r="F63" s="29" t="n">
        <x:v>464</x:v>
      </x:c>
      <x:c r="G63" s="25" t="n">
        <x:f>F63/E63</x:f>
        <x:v>0.3558282208588957</x:v>
      </x:c>
      <x:c r="H63" s="25" t="n">
        <x:v>0.330300969506251</x:v>
      </x:c>
      <x:c r="I63" s="25" t="n">
        <x:v>0.3822024096578823</x:v>
      </x:c>
      <x:c r="J63" s="24" t="str">
        <x:v>관측</x:v>
      </x:c>
      <x:c r="K63" s="24"/>
    </x:row>
    <x:row r="64" ht="24" customHeight="1">
      <x:c r="A64" s="3"/>
      <x:c r="B64" s="16" t="d">
        <x:v>2013-03-10T00:00:00.000Z</x:v>
      </x:c>
      <x:c r="C64" s="11" t="str">
        <x:v>D+1 학습</x:v>
      </x:c>
      <x:c r="D64" s="11" t="str">
        <x:v>전체</x:v>
      </x:c>
      <x:c r="E64" s="28" t="n">
        <x:v>4227</x:v>
      </x:c>
      <x:c r="F64" s="29" t="n">
        <x:v>1144</x:v>
      </x:c>
      <x:c r="G64" s="25" t="n">
        <x:f>F64/E64</x:f>
        <x:v>0.2706411166311805</x:v>
      </x:c>
      <x:c r="H64" s="25" t="n">
        <x:v>0.25746016198574323</x:v>
      </x:c>
      <x:c r="I64" s="25" t="n">
        <x:v>0.2842385712632976</x:v>
      </x:c>
      <x:c r="J64" s="24" t="str">
        <x:v>관측</x:v>
      </x:c>
      <x:c r="K64" s="24"/>
    </x:row>
    <x:row r="65" ht="24" customHeight="1">
      <x:c r="A65" s="3"/>
      <x:c r="B65" s="17" t="d">
        <x:v>2013-03-10T00:00:00.000Z</x:v>
      </x:c>
      <x:c r="C65" s="3" t="str">
        <x:v>D+1 학습</x:v>
      </x:c>
      <x:c r="D65" s="3" t="str">
        <x:v>꾸준형</x:v>
      </x:c>
      <x:c r="E65" s="29" t="n">
        <x:v>655</x:v>
      </x:c>
      <x:c r="F65" s="29" t="n">
        <x:v>271</x:v>
      </x:c>
      <x:c r="G65" s="25" t="n">
        <x:f>F65/E65</x:f>
        <x:v>0.41374045801526715</x:v>
      </x:c>
      <x:c r="H65" s="25" t="n">
        <x:v>0.37663322419479855</x:v>
      </x:c>
      <x:c r="I65" s="25" t="n">
        <x:v>0.4518535862705499</x:v>
      </x:c>
      <x:c r="J65" s="24" t="str">
        <x:v>관측</x:v>
      </x:c>
      <x:c r="K65" s="24"/>
    </x:row>
    <x:row r="66" ht="24" customHeight="1">
      <x:c r="A66" s="3"/>
      <x:c r="B66" s="17" t="d">
        <x:v>2013-03-10T00:00:00.000Z</x:v>
      </x:c>
      <x:c r="C66" s="3" t="str">
        <x:v>D+1 학습</x:v>
      </x:c>
      <x:c r="D66" s="3" t="str">
        <x:v>습관 형성형</x:v>
      </x:c>
      <x:c r="E66" s="29" t="n">
        <x:v>971</x:v>
      </x:c>
      <x:c r="F66" s="29" t="n">
        <x:v>267</x:v>
      </x:c>
      <x:c r="G66" s="25" t="n">
        <x:f>F66/E66</x:f>
        <x:v>0.2749742533470649</x:v>
      </x:c>
      <x:c r="H66" s="25" t="n">
        <x:v>0.24781821010482846</x:v>
      </x:c>
      <x:c r="I66" s="25" t="n">
        <x:v>0.30390376884274634</x:v>
      </x:c>
      <x:c r="J66" s="24" t="str">
        <x:v>관측</x:v>
      </x:c>
      <x:c r="K66" s="24"/>
    </x:row>
    <x:row r="67" ht="24" customHeight="1">
      <x:c r="A67" s="3"/>
      <x:c r="B67" s="17" t="d">
        <x:v>2013-03-10T00:00:00.000Z</x:v>
      </x:c>
      <x:c r="C67" s="3" t="str">
        <x:v>D+1 학습</x:v>
      </x:c>
      <x:c r="D67" s="3" t="str">
        <x:v>최근 단발형</x:v>
      </x:c>
      <x:c r="E67" s="29" t="n">
        <x:v>667</x:v>
      </x:c>
      <x:c r="F67" s="29" t="n">
        <x:v>164</x:v>
      </x:c>
      <x:c r="G67" s="25" t="n">
        <x:f>F67/E67</x:f>
        <x:v>0.24587706146926536</x:v>
      </x:c>
      <x:c r="H67" s="25" t="n">
        <x:v>0.21471473841754501</x:v>
      </x:c>
      <x:c r="I67" s="25" t="n">
        <x:v>0.27994976756581336</x:v>
      </x:c>
      <x:c r="J67" s="24" t="str">
        <x:v>관측</x:v>
      </x:c>
      <x:c r="K67" s="24"/>
    </x:row>
    <x:row r="68" ht="24" customHeight="1">
      <x:c r="A68" s="3"/>
      <x:c r="B68" s="17" t="d">
        <x:v>2013-03-10T00:00:00.000Z</x:v>
      </x:c>
      <x:c r="C68" s="3" t="str">
        <x:v>D+1 학습</x:v>
      </x:c>
      <x:c r="D68" s="3" t="str">
        <x:v>멈춤-꾸준형</x:v>
      </x:c>
      <x:c r="E68" s="29" t="n">
        <x:v>267</x:v>
      </x:c>
      <x:c r="F68" s="29" t="n">
        <x:v>91</x:v>
      </x:c>
      <x:c r="G68" s="25" t="n">
        <x:f>F68/E68</x:f>
        <x:v>0.3408239700374532</x:v>
      </x:c>
      <x:c r="H68" s="25" t="n">
        <x:v>0.2865874971958945</x:v>
      </x:c>
      <x:c r="I68" s="25" t="n">
        <x:v>0.3995757646248419</x:v>
      </x:c>
      <x:c r="J68" s="24" t="str">
        <x:v>관측</x:v>
      </x:c>
      <x:c r="K68" s="24"/>
    </x:row>
    <x:row r="69" ht="24" customHeight="1">
      <x:c r="A69" s="3"/>
      <x:c r="B69" s="17" t="d">
        <x:v>2013-03-10T00:00:00.000Z</x:v>
      </x:c>
      <x:c r="C69" s="3" t="str">
        <x:v>D+1 학습</x:v>
      </x:c>
      <x:c r="D69" s="3" t="str">
        <x:v>멈춤-몰입형</x:v>
      </x:c>
      <x:c r="E69" s="29" t="n">
        <x:v>484</x:v>
      </x:c>
      <x:c r="F69" s="29" t="n">
        <x:v>128</x:v>
      </x:c>
      <x:c r="G69" s="25" t="n">
        <x:f>F69/E69</x:f>
        <x:v>0.2644628099173554</x:v>
      </x:c>
      <x:c r="H69" s="25" t="n">
        <x:v>0.22713607628939542</x:v>
      </x:c>
      <x:c r="I69" s="25" t="n">
        <x:v>0.30549897168056134</x:v>
      </x:c>
      <x:c r="J69" s="24" t="str">
        <x:v>관측</x:v>
      </x:c>
      <x:c r="K69" s="24"/>
    </x:row>
    <x:row r="70" ht="24" customHeight="1">
      <x:c r="A70" s="3"/>
      <x:c r="B70" s="17" t="d">
        <x:v>2013-03-10T00:00:00.000Z</x:v>
      </x:c>
      <x:c r="C70" s="3" t="str">
        <x:v>D+1 학습</x:v>
      </x:c>
      <x:c r="D70" s="3" t="str">
        <x:v>멈춤-저활동형</x:v>
      </x:c>
      <x:c r="E70" s="29" t="n">
        <x:v>1183</x:v>
      </x:c>
      <x:c r="F70" s="29" t="n">
        <x:v>223</x:v>
      </x:c>
      <x:c r="G70" s="25" t="n">
        <x:f>F70/E70</x:f>
        <x:v>0.18850380388841928</x:v>
      </x:c>
      <x:c r="H70" s="25" t="n">
        <x:v>0.16723791395385793</x:v>
      </x:c>
      <x:c r="I70" s="25" t="n">
        <x:v>0.21178613806036764</x:v>
      </x:c>
      <x:c r="J70" s="24" t="str">
        <x:v>관측</x:v>
      </x:c>
      <x:c r="K70" s="24"/>
    </x:row>
    <x:row r="71" ht="24" customHeight="1">
      <x:c r="A71" s="3"/>
      <x:c r="B71" s="16" t="d">
        <x:v>2013-03-10T00:00:00.000Z</x:v>
      </x:c>
      <x:c r="C71" s="11" t="str">
        <x:v>D+2 학습</x:v>
      </x:c>
      <x:c r="D71" s="11" t="str">
        <x:v>전체</x:v>
      </x:c>
      <x:c r="E71" s="28" t="n">
        <x:v>4227</x:v>
      </x:c>
      <x:c r="F71" s="30"/>
      <x:c r="G71" s="31"/>
      <x:c r="H71" s="31"/>
      <x:c r="I71" s="31"/>
      <x:c r="J71" s="32" t="str">
        <x:v>미관측</x:v>
      </x:c>
      <x:c r="K71" s="24"/>
    </x:row>
    <x:row r="72" ht="24" customHeight="1">
      <x:c r="A72" s="3"/>
      <x:c r="B72" s="17" t="d">
        <x:v>2013-03-10T00:00:00.000Z</x:v>
      </x:c>
      <x:c r="C72" s="3" t="str">
        <x:v>D+2 학습</x:v>
      </x:c>
      <x:c r="D72" s="3" t="str">
        <x:v>꾸준형</x:v>
      </x:c>
      <x:c r="E72" s="29" t="n">
        <x:v>655</x:v>
      </x:c>
      <x:c r="F72" s="30"/>
      <x:c r="G72" s="31"/>
      <x:c r="H72" s="31"/>
      <x:c r="I72" s="31"/>
      <x:c r="J72" s="32" t="str">
        <x:v>미관측</x:v>
      </x:c>
      <x:c r="K72" s="24"/>
    </x:row>
    <x:row r="73" ht="24" customHeight="1">
      <x:c r="A73" s="3"/>
      <x:c r="B73" s="17" t="d">
        <x:v>2013-03-10T00:00:00.000Z</x:v>
      </x:c>
      <x:c r="C73" s="3" t="str">
        <x:v>D+2 학습</x:v>
      </x:c>
      <x:c r="D73" s="3" t="str">
        <x:v>습관 형성형</x:v>
      </x:c>
      <x:c r="E73" s="29" t="n">
        <x:v>971</x:v>
      </x:c>
      <x:c r="F73" s="30"/>
      <x:c r="G73" s="31"/>
      <x:c r="H73" s="31"/>
      <x:c r="I73" s="31"/>
      <x:c r="J73" s="32" t="str">
        <x:v>미관측</x:v>
      </x:c>
      <x:c r="K73" s="24"/>
    </x:row>
    <x:row r="74" ht="24" customHeight="1">
      <x:c r="A74" s="3"/>
      <x:c r="B74" s="17" t="d">
        <x:v>2013-03-10T00:00:00.000Z</x:v>
      </x:c>
      <x:c r="C74" s="3" t="str">
        <x:v>D+2 학습</x:v>
      </x:c>
      <x:c r="D74" s="3" t="str">
        <x:v>최근 단발형</x:v>
      </x:c>
      <x:c r="E74" s="29" t="n">
        <x:v>667</x:v>
      </x:c>
      <x:c r="F74" s="30"/>
      <x:c r="G74" s="31"/>
      <x:c r="H74" s="31"/>
      <x:c r="I74" s="31"/>
      <x:c r="J74" s="32" t="str">
        <x:v>미관측</x:v>
      </x:c>
      <x:c r="K74" s="24"/>
    </x:row>
    <x:row r="75" ht="24" customHeight="1">
      <x:c r="A75" s="3"/>
      <x:c r="B75" s="17" t="d">
        <x:v>2013-03-10T00:00:00.000Z</x:v>
      </x:c>
      <x:c r="C75" s="3" t="str">
        <x:v>D+2 학습</x:v>
      </x:c>
      <x:c r="D75" s="3" t="str">
        <x:v>멈춤-꾸준형</x:v>
      </x:c>
      <x:c r="E75" s="29" t="n">
        <x:v>267</x:v>
      </x:c>
      <x:c r="F75" s="30"/>
      <x:c r="G75" s="31"/>
      <x:c r="H75" s="31"/>
      <x:c r="I75" s="31"/>
      <x:c r="J75" s="32" t="str">
        <x:v>미관측</x:v>
      </x:c>
      <x:c r="K75" s="24"/>
    </x:row>
    <x:row r="76" ht="24" customHeight="1">
      <x:c r="A76" s="3"/>
      <x:c r="B76" s="17" t="d">
        <x:v>2013-03-10T00:00:00.000Z</x:v>
      </x:c>
      <x:c r="C76" s="3" t="str">
        <x:v>D+2 학습</x:v>
      </x:c>
      <x:c r="D76" s="3" t="str">
        <x:v>멈춤-몰입형</x:v>
      </x:c>
      <x:c r="E76" s="29" t="n">
        <x:v>484</x:v>
      </x:c>
      <x:c r="F76" s="30"/>
      <x:c r="G76" s="31"/>
      <x:c r="H76" s="31"/>
      <x:c r="I76" s="31"/>
      <x:c r="J76" s="32" t="str">
        <x:v>미관측</x:v>
      </x:c>
      <x:c r="K76" s="24"/>
    </x:row>
    <x:row r="77" ht="24" customHeight="1">
      <x:c r="A77" s="3"/>
      <x:c r="B77" s="17" t="d">
        <x:v>2013-03-10T00:00:00.000Z</x:v>
      </x:c>
      <x:c r="C77" s="3" t="str">
        <x:v>D+2 학습</x:v>
      </x:c>
      <x:c r="D77" s="3" t="str">
        <x:v>멈춤-저활동형</x:v>
      </x:c>
      <x:c r="E77" s="29" t="n">
        <x:v>1183</x:v>
      </x:c>
      <x:c r="F77" s="30"/>
      <x:c r="G77" s="31"/>
      <x:c r="H77" s="31"/>
      <x:c r="I77" s="31"/>
      <x:c r="J77" s="32" t="str">
        <x:v>미관측</x:v>
      </x:c>
      <x:c r="K77" s="24"/>
    </x:row>
    <x:row r="78" ht="24" customHeight="1">
      <x:c r="A78" s="3"/>
      <x:c r="B78" s="16" t="d">
        <x:v>2013-03-10T00:00:00.000Z</x:v>
      </x:c>
      <x:c r="C78" s="11" t="str">
        <x:v>D+3 학습</x:v>
      </x:c>
      <x:c r="D78" s="11" t="str">
        <x:v>전체</x:v>
      </x:c>
      <x:c r="E78" s="28" t="n">
        <x:v>4227</x:v>
      </x:c>
      <x:c r="F78" s="30"/>
      <x:c r="G78" s="31"/>
      <x:c r="H78" s="31"/>
      <x:c r="I78" s="31"/>
      <x:c r="J78" s="32" t="str">
        <x:v>미관측</x:v>
      </x:c>
      <x:c r="K78" s="24"/>
    </x:row>
    <x:row r="79" ht="24" customHeight="1">
      <x:c r="A79" s="3"/>
      <x:c r="B79" s="17" t="d">
        <x:v>2013-03-10T00:00:00.000Z</x:v>
      </x:c>
      <x:c r="C79" s="3" t="str">
        <x:v>D+3 학습</x:v>
      </x:c>
      <x:c r="D79" s="3" t="str">
        <x:v>꾸준형</x:v>
      </x:c>
      <x:c r="E79" s="29" t="n">
        <x:v>655</x:v>
      </x:c>
      <x:c r="F79" s="30"/>
      <x:c r="G79" s="31"/>
      <x:c r="H79" s="31"/>
      <x:c r="I79" s="31"/>
      <x:c r="J79" s="32" t="str">
        <x:v>미관측</x:v>
      </x:c>
      <x:c r="K79" s="24"/>
    </x:row>
    <x:row r="80" ht="24" customHeight="1">
      <x:c r="A80" s="3"/>
      <x:c r="B80" s="17" t="d">
        <x:v>2013-03-10T00:00:00.000Z</x:v>
      </x:c>
      <x:c r="C80" s="3" t="str">
        <x:v>D+3 학습</x:v>
      </x:c>
      <x:c r="D80" s="3" t="str">
        <x:v>습관 형성형</x:v>
      </x:c>
      <x:c r="E80" s="29" t="n">
        <x:v>971</x:v>
      </x:c>
      <x:c r="F80" s="30"/>
      <x:c r="G80" s="31"/>
      <x:c r="H80" s="31"/>
      <x:c r="I80" s="31"/>
      <x:c r="J80" s="32" t="str">
        <x:v>미관측</x:v>
      </x:c>
      <x:c r="K80" s="24"/>
    </x:row>
    <x:row r="81" ht="24" customHeight="1">
      <x:c r="A81" s="3"/>
      <x:c r="B81" s="17" t="d">
        <x:v>2013-03-10T00:00:00.000Z</x:v>
      </x:c>
      <x:c r="C81" s="3" t="str">
        <x:v>D+3 학습</x:v>
      </x:c>
      <x:c r="D81" s="3" t="str">
        <x:v>최근 단발형</x:v>
      </x:c>
      <x:c r="E81" s="29" t="n">
        <x:v>667</x:v>
      </x:c>
      <x:c r="F81" s="30"/>
      <x:c r="G81" s="31"/>
      <x:c r="H81" s="31"/>
      <x:c r="I81" s="31"/>
      <x:c r="J81" s="32" t="str">
        <x:v>미관측</x:v>
      </x:c>
      <x:c r="K81" s="24"/>
    </x:row>
    <x:row r="82" ht="24" customHeight="1">
      <x:c r="A82" s="3"/>
      <x:c r="B82" s="17" t="d">
        <x:v>2013-03-10T00:00:00.000Z</x:v>
      </x:c>
      <x:c r="C82" s="3" t="str">
        <x:v>D+3 학습</x:v>
      </x:c>
      <x:c r="D82" s="3" t="str">
        <x:v>멈춤-꾸준형</x:v>
      </x:c>
      <x:c r="E82" s="29" t="n">
        <x:v>267</x:v>
      </x:c>
      <x:c r="F82" s="30"/>
      <x:c r="G82" s="31"/>
      <x:c r="H82" s="31"/>
      <x:c r="I82" s="31"/>
      <x:c r="J82" s="32" t="str">
        <x:v>미관측</x:v>
      </x:c>
      <x:c r="K82" s="24"/>
    </x:row>
    <x:row r="83" ht="24" customHeight="1">
      <x:c r="A83" s="3"/>
      <x:c r="B83" s="17" t="d">
        <x:v>2013-03-10T00:00:00.000Z</x:v>
      </x:c>
      <x:c r="C83" s="3" t="str">
        <x:v>D+3 학습</x:v>
      </x:c>
      <x:c r="D83" s="3" t="str">
        <x:v>멈춤-몰입형</x:v>
      </x:c>
      <x:c r="E83" s="29" t="n">
        <x:v>484</x:v>
      </x:c>
      <x:c r="F83" s="30"/>
      <x:c r="G83" s="31"/>
      <x:c r="H83" s="31"/>
      <x:c r="I83" s="31"/>
      <x:c r="J83" s="32" t="str">
        <x:v>미관측</x:v>
      </x:c>
      <x:c r="K83" s="24"/>
    </x:row>
    <x:row r="84" ht="24" customHeight="1">
      <x:c r="A84" s="3"/>
      <x:c r="B84" s="17" t="d">
        <x:v>2013-03-10T00:00:00.000Z</x:v>
      </x:c>
      <x:c r="C84" s="3" t="str">
        <x:v>D+3 학습</x:v>
      </x:c>
      <x:c r="D84" s="3" t="str">
        <x:v>멈춤-저활동형</x:v>
      </x:c>
      <x:c r="E84" s="29" t="n">
        <x:v>1183</x:v>
      </x:c>
      <x:c r="F84" s="30"/>
      <x:c r="G84" s="31"/>
      <x:c r="H84" s="31"/>
      <x:c r="I84" s="31"/>
      <x:c r="J84" s="32" t="str">
        <x:v>미관측</x:v>
      </x:c>
      <x:c r="K84" s="24"/>
    </x:row>
    <x:row r="85" ht="24" customHeight="1">
      <x:c r="A85" s="3"/>
      <x:c r="B85" s="16" t="d">
        <x:v>2013-03-10T00:00:00.000Z</x:v>
      </x:c>
      <x:c r="C85" s="11" t="str">
        <x:v>2일 내 추가 학습</x:v>
      </x:c>
      <x:c r="D85" s="11" t="str">
        <x:v>전체</x:v>
      </x:c>
      <x:c r="E85" s="28" t="n">
        <x:v>4227</x:v>
      </x:c>
      <x:c r="F85" s="30"/>
      <x:c r="G85" s="31"/>
      <x:c r="H85" s="31"/>
      <x:c r="I85" s="31"/>
      <x:c r="J85" s="32" t="str">
        <x:v>미관측</x:v>
      </x:c>
      <x:c r="K85" s="24"/>
    </x:row>
    <x:row r="86" ht="24" customHeight="1">
      <x:c r="A86" s="3"/>
      <x:c r="B86" s="17" t="d">
        <x:v>2013-03-10T00:00:00.000Z</x:v>
      </x:c>
      <x:c r="C86" s="3" t="str">
        <x:v>2일 내 추가 학습</x:v>
      </x:c>
      <x:c r="D86" s="3" t="str">
        <x:v>꾸준형</x:v>
      </x:c>
      <x:c r="E86" s="29" t="n">
        <x:v>655</x:v>
      </x:c>
      <x:c r="F86" s="30"/>
      <x:c r="G86" s="31"/>
      <x:c r="H86" s="31"/>
      <x:c r="I86" s="31"/>
      <x:c r="J86" s="32" t="str">
        <x:v>미관측</x:v>
      </x:c>
      <x:c r="K86" s="24"/>
    </x:row>
    <x:row r="87" ht="24" customHeight="1">
      <x:c r="A87" s="3"/>
      <x:c r="B87" s="17" t="d">
        <x:v>2013-03-10T00:00:00.000Z</x:v>
      </x:c>
      <x:c r="C87" s="3" t="str">
        <x:v>2일 내 추가 학습</x:v>
      </x:c>
      <x:c r="D87" s="3" t="str">
        <x:v>습관 형성형</x:v>
      </x:c>
      <x:c r="E87" s="29" t="n">
        <x:v>971</x:v>
      </x:c>
      <x:c r="F87" s="30"/>
      <x:c r="G87" s="31"/>
      <x:c r="H87" s="31"/>
      <x:c r="I87" s="31"/>
      <x:c r="J87" s="32" t="str">
        <x:v>미관측</x:v>
      </x:c>
      <x:c r="K87" s="24"/>
    </x:row>
    <x:row r="88" ht="24" customHeight="1">
      <x:c r="A88" s="3"/>
      <x:c r="B88" s="17" t="d">
        <x:v>2013-03-10T00:00:00.000Z</x:v>
      </x:c>
      <x:c r="C88" s="3" t="str">
        <x:v>2일 내 추가 학습</x:v>
      </x:c>
      <x:c r="D88" s="3" t="str">
        <x:v>최근 단발형</x:v>
      </x:c>
      <x:c r="E88" s="29" t="n">
        <x:v>667</x:v>
      </x:c>
      <x:c r="F88" s="30"/>
      <x:c r="G88" s="31"/>
      <x:c r="H88" s="31"/>
      <x:c r="I88" s="31"/>
      <x:c r="J88" s="32" t="str">
        <x:v>미관측</x:v>
      </x:c>
      <x:c r="K88" s="24"/>
    </x:row>
    <x:row r="89" ht="24" customHeight="1">
      <x:c r="A89" s="3"/>
      <x:c r="B89" s="17" t="d">
        <x:v>2013-03-10T00:00:00.000Z</x:v>
      </x:c>
      <x:c r="C89" s="3" t="str">
        <x:v>2일 내 추가 학습</x:v>
      </x:c>
      <x:c r="D89" s="3" t="str">
        <x:v>멈춤-꾸준형</x:v>
      </x:c>
      <x:c r="E89" s="29" t="n">
        <x:v>267</x:v>
      </x:c>
      <x:c r="F89" s="30"/>
      <x:c r="G89" s="31"/>
      <x:c r="H89" s="31"/>
      <x:c r="I89" s="31"/>
      <x:c r="J89" s="32" t="str">
        <x:v>미관측</x:v>
      </x:c>
      <x:c r="K89" s="24"/>
    </x:row>
    <x:row r="90" ht="24" customHeight="1">
      <x:c r="A90" s="3"/>
      <x:c r="B90" s="17" t="d">
        <x:v>2013-03-10T00:00:00.000Z</x:v>
      </x:c>
      <x:c r="C90" s="3" t="str">
        <x:v>2일 내 추가 학습</x:v>
      </x:c>
      <x:c r="D90" s="3" t="str">
        <x:v>멈춤-몰입형</x:v>
      </x:c>
      <x:c r="E90" s="29" t="n">
        <x:v>484</x:v>
      </x:c>
      <x:c r="F90" s="30"/>
      <x:c r="G90" s="31"/>
      <x:c r="H90" s="31"/>
      <x:c r="I90" s="31"/>
      <x:c r="J90" s="32" t="str">
        <x:v>미관측</x:v>
      </x:c>
      <x:c r="K90" s="24"/>
    </x:row>
    <x:row r="91" ht="24" customHeight="1">
      <x:c r="A91" s="3"/>
      <x:c r="B91" s="17" t="d">
        <x:v>2013-03-10T00:00:00.000Z</x:v>
      </x:c>
      <x:c r="C91" s="3" t="str">
        <x:v>2일 내 추가 학습</x:v>
      </x:c>
      <x:c r="D91" s="3" t="str">
        <x:v>멈춤-저활동형</x:v>
      </x:c>
      <x:c r="E91" s="29" t="n">
        <x:v>1183</x:v>
      </x:c>
      <x:c r="F91" s="30"/>
      <x:c r="G91" s="31"/>
      <x:c r="H91" s="31"/>
      <x:c r="I91" s="31"/>
      <x:c r="J91" s="32" t="str">
        <x:v>미관측</x:v>
      </x:c>
      <x:c r="K91" s="24"/>
    </x:row>
    <x:row r="92" ht="24" customHeight="1">
      <x:c r="A92" s="3"/>
      <x:c r="B92" s="16" t="d">
        <x:v>2013-03-11T00:00:00.000Z</x:v>
      </x:c>
      <x:c r="C92" s="11" t="str">
        <x:v>D+1 학습</x:v>
      </x:c>
      <x:c r="D92" s="11" t="str">
        <x:v>전체</x:v>
      </x:c>
      <x:c r="E92" s="28" t="n">
        <x:v>3926</x:v>
      </x:c>
      <x:c r="F92" s="30"/>
      <x:c r="G92" s="31"/>
      <x:c r="H92" s="31"/>
      <x:c r="I92" s="31"/>
      <x:c r="J92" s="32" t="str">
        <x:v>미관측</x:v>
      </x:c>
      <x:c r="K92" s="24"/>
    </x:row>
    <x:row r="93" ht="24" customHeight="1">
      <x:c r="A93" s="3"/>
      <x:c r="B93" s="17" t="d">
        <x:v>2013-03-11T00:00:00.000Z</x:v>
      </x:c>
      <x:c r="C93" s="3" t="str">
        <x:v>D+1 학습</x:v>
      </x:c>
      <x:c r="D93" s="3" t="str">
        <x:v>꾸준형</x:v>
      </x:c>
      <x:c r="E93" s="29" t="n">
        <x:v>583</x:v>
      </x:c>
      <x:c r="F93" s="30"/>
      <x:c r="G93" s="31"/>
      <x:c r="H93" s="31"/>
      <x:c r="I93" s="31"/>
      <x:c r="J93" s="32" t="str">
        <x:v>미관측</x:v>
      </x:c>
      <x:c r="K93" s="24"/>
    </x:row>
    <x:row r="94" ht="24" customHeight="1">
      <x:c r="A94" s="3"/>
      <x:c r="B94" s="17" t="d">
        <x:v>2013-03-11T00:00:00.000Z</x:v>
      </x:c>
      <x:c r="C94" s="3" t="str">
        <x:v>D+1 학습</x:v>
      </x:c>
      <x:c r="D94" s="3" t="str">
        <x:v>습관 형성형</x:v>
      </x:c>
      <x:c r="E94" s="29" t="n">
        <x:v>958</x:v>
      </x:c>
      <x:c r="F94" s="30"/>
      <x:c r="G94" s="31"/>
      <x:c r="H94" s="31"/>
      <x:c r="I94" s="31"/>
      <x:c r="J94" s="32" t="str">
        <x:v>미관측</x:v>
      </x:c>
      <x:c r="K94" s="24"/>
    </x:row>
    <x:row r="95" ht="24" customHeight="1">
      <x:c r="A95" s="3"/>
      <x:c r="B95" s="17" t="d">
        <x:v>2013-03-11T00:00:00.000Z</x:v>
      </x:c>
      <x:c r="C95" s="3" t="str">
        <x:v>D+1 학습</x:v>
      </x:c>
      <x:c r="D95" s="3" t="str">
        <x:v>최근 단발형</x:v>
      </x:c>
      <x:c r="E95" s="29" t="n">
        <x:v>662</x:v>
      </x:c>
      <x:c r="F95" s="30"/>
      <x:c r="G95" s="31"/>
      <x:c r="H95" s="31"/>
      <x:c r="I95" s="31"/>
      <x:c r="J95" s="32" t="str">
        <x:v>미관측</x:v>
      </x:c>
      <x:c r="K95" s="24"/>
    </x:row>
    <x:row r="96" ht="24" customHeight="1">
      <x:c r="A96" s="3"/>
      <x:c r="B96" s="17" t="d">
        <x:v>2013-03-11T00:00:00.000Z</x:v>
      </x:c>
      <x:c r="C96" s="3" t="str">
        <x:v>D+1 학습</x:v>
      </x:c>
      <x:c r="D96" s="3" t="str">
        <x:v>멈춤-꾸준형</x:v>
      </x:c>
      <x:c r="E96" s="29" t="n">
        <x:v>233</x:v>
      </x:c>
      <x:c r="F96" s="30"/>
      <x:c r="G96" s="31"/>
      <x:c r="H96" s="31"/>
      <x:c r="I96" s="31"/>
      <x:c r="J96" s="32" t="str">
        <x:v>미관측</x:v>
      </x:c>
      <x:c r="K96" s="24"/>
    </x:row>
    <x:row r="97" ht="24" customHeight="1">
      <x:c r="A97" s="3"/>
      <x:c r="B97" s="17" t="d">
        <x:v>2013-03-11T00:00:00.000Z</x:v>
      </x:c>
      <x:c r="C97" s="3" t="str">
        <x:v>D+1 학습</x:v>
      </x:c>
      <x:c r="D97" s="3" t="str">
        <x:v>멈춤-몰입형</x:v>
      </x:c>
      <x:c r="E97" s="29" t="n">
        <x:v>446</x:v>
      </x:c>
      <x:c r="F97" s="30"/>
      <x:c r="G97" s="31"/>
      <x:c r="H97" s="31"/>
      <x:c r="I97" s="31"/>
      <x:c r="J97" s="32" t="str">
        <x:v>미관측</x:v>
      </x:c>
      <x:c r="K97" s="24"/>
    </x:row>
    <x:row r="98" ht="24" customHeight="1">
      <x:c r="A98" s="3"/>
      <x:c r="B98" s="17" t="d">
        <x:v>2013-03-11T00:00:00.000Z</x:v>
      </x:c>
      <x:c r="C98" s="3" t="str">
        <x:v>D+1 학습</x:v>
      </x:c>
      <x:c r="D98" s="3" t="str">
        <x:v>멈춤-저활동형</x:v>
      </x:c>
      <x:c r="E98" s="29" t="n">
        <x:v>1044</x:v>
      </x:c>
      <x:c r="F98" s="30"/>
      <x:c r="G98" s="31"/>
      <x:c r="H98" s="31"/>
      <x:c r="I98" s="31"/>
      <x:c r="J98" s="32" t="str">
        <x:v>미관측</x:v>
      </x:c>
      <x:c r="K98" s="24"/>
    </x:row>
    <x:row r="99" ht="24" customHeight="1">
      <x:c r="A99" s="3"/>
      <x:c r="B99" s="16" t="d">
        <x:v>2013-03-11T00:00:00.000Z</x:v>
      </x:c>
      <x:c r="C99" s="11" t="str">
        <x:v>D+2 학습</x:v>
      </x:c>
      <x:c r="D99" s="11" t="str">
        <x:v>전체</x:v>
      </x:c>
      <x:c r="E99" s="28" t="n">
        <x:v>3926</x:v>
      </x:c>
      <x:c r="F99" s="30"/>
      <x:c r="G99" s="31"/>
      <x:c r="H99" s="31"/>
      <x:c r="I99" s="31"/>
      <x:c r="J99" s="32" t="str">
        <x:v>미관측</x:v>
      </x:c>
      <x:c r="K99" s="24"/>
    </x:row>
    <x:row r="100" ht="24" customHeight="1">
      <x:c r="A100" s="3"/>
      <x:c r="B100" s="17" t="d">
        <x:v>2013-03-11T00:00:00.000Z</x:v>
      </x:c>
      <x:c r="C100" s="3" t="str">
        <x:v>D+2 학습</x:v>
      </x:c>
      <x:c r="D100" s="3" t="str">
        <x:v>꾸준형</x:v>
      </x:c>
      <x:c r="E100" s="29" t="n">
        <x:v>583</x:v>
      </x:c>
      <x:c r="F100" s="30"/>
      <x:c r="G100" s="31"/>
      <x:c r="H100" s="31"/>
      <x:c r="I100" s="31"/>
      <x:c r="J100" s="32" t="str">
        <x:v>미관측</x:v>
      </x:c>
      <x:c r="K100" s="24"/>
    </x:row>
    <x:row r="101" ht="24" customHeight="1">
      <x:c r="A101" s="3"/>
      <x:c r="B101" s="17" t="d">
        <x:v>2013-03-11T00:00:00.000Z</x:v>
      </x:c>
      <x:c r="C101" s="3" t="str">
        <x:v>D+2 학습</x:v>
      </x:c>
      <x:c r="D101" s="3" t="str">
        <x:v>습관 형성형</x:v>
      </x:c>
      <x:c r="E101" s="29" t="n">
        <x:v>958</x:v>
      </x:c>
      <x:c r="F101" s="30"/>
      <x:c r="G101" s="31"/>
      <x:c r="H101" s="31"/>
      <x:c r="I101" s="31"/>
      <x:c r="J101" s="32" t="str">
        <x:v>미관측</x:v>
      </x:c>
      <x:c r="K101" s="24"/>
    </x:row>
    <x:row r="102" ht="24" customHeight="1">
      <x:c r="A102" s="3"/>
      <x:c r="B102" s="17" t="d">
        <x:v>2013-03-11T00:00:00.000Z</x:v>
      </x:c>
      <x:c r="C102" s="3" t="str">
        <x:v>D+2 학습</x:v>
      </x:c>
      <x:c r="D102" s="3" t="str">
        <x:v>최근 단발형</x:v>
      </x:c>
      <x:c r="E102" s="29" t="n">
        <x:v>662</x:v>
      </x:c>
      <x:c r="F102" s="30"/>
      <x:c r="G102" s="31"/>
      <x:c r="H102" s="31"/>
      <x:c r="I102" s="31"/>
      <x:c r="J102" s="32" t="str">
        <x:v>미관측</x:v>
      </x:c>
      <x:c r="K102" s="24"/>
    </x:row>
    <x:row r="103" ht="24" customHeight="1">
      <x:c r="A103" s="3"/>
      <x:c r="B103" s="17" t="d">
        <x:v>2013-03-11T00:00:00.000Z</x:v>
      </x:c>
      <x:c r="C103" s="3" t="str">
        <x:v>D+2 학습</x:v>
      </x:c>
      <x:c r="D103" s="3" t="str">
        <x:v>멈춤-꾸준형</x:v>
      </x:c>
      <x:c r="E103" s="29" t="n">
        <x:v>233</x:v>
      </x:c>
      <x:c r="F103" s="30"/>
      <x:c r="G103" s="31"/>
      <x:c r="H103" s="31"/>
      <x:c r="I103" s="31"/>
      <x:c r="J103" s="32" t="str">
        <x:v>미관측</x:v>
      </x:c>
      <x:c r="K103" s="24"/>
    </x:row>
    <x:row r="104" ht="24" customHeight="1">
      <x:c r="A104" s="3"/>
      <x:c r="B104" s="17" t="d">
        <x:v>2013-03-11T00:00:00.000Z</x:v>
      </x:c>
      <x:c r="C104" s="3" t="str">
        <x:v>D+2 학습</x:v>
      </x:c>
      <x:c r="D104" s="3" t="str">
        <x:v>멈춤-몰입형</x:v>
      </x:c>
      <x:c r="E104" s="29" t="n">
        <x:v>446</x:v>
      </x:c>
      <x:c r="F104" s="30"/>
      <x:c r="G104" s="31"/>
      <x:c r="H104" s="31"/>
      <x:c r="I104" s="31"/>
      <x:c r="J104" s="32" t="str">
        <x:v>미관측</x:v>
      </x:c>
      <x:c r="K104" s="24"/>
    </x:row>
    <x:row r="105" ht="24" customHeight="1">
      <x:c r="A105" s="3"/>
      <x:c r="B105" s="17" t="d">
        <x:v>2013-03-11T00:00:00.000Z</x:v>
      </x:c>
      <x:c r="C105" s="3" t="str">
        <x:v>D+2 학습</x:v>
      </x:c>
      <x:c r="D105" s="3" t="str">
        <x:v>멈춤-저활동형</x:v>
      </x:c>
      <x:c r="E105" s="29" t="n">
        <x:v>1044</x:v>
      </x:c>
      <x:c r="F105" s="30"/>
      <x:c r="G105" s="31"/>
      <x:c r="H105" s="31"/>
      <x:c r="I105" s="31"/>
      <x:c r="J105" s="32" t="str">
        <x:v>미관측</x:v>
      </x:c>
      <x:c r="K105" s="24"/>
    </x:row>
    <x:row r="106" ht="24" customHeight="1">
      <x:c r="A106" s="3"/>
      <x:c r="B106" s="16" t="d">
        <x:v>2013-03-11T00:00:00.000Z</x:v>
      </x:c>
      <x:c r="C106" s="11" t="str">
        <x:v>D+3 학습</x:v>
      </x:c>
      <x:c r="D106" s="11" t="str">
        <x:v>전체</x:v>
      </x:c>
      <x:c r="E106" s="28" t="n">
        <x:v>3926</x:v>
      </x:c>
      <x:c r="F106" s="30"/>
      <x:c r="G106" s="31"/>
      <x:c r="H106" s="31"/>
      <x:c r="I106" s="31"/>
      <x:c r="J106" s="32" t="str">
        <x:v>미관측</x:v>
      </x:c>
      <x:c r="K106" s="24"/>
    </x:row>
    <x:row r="107" ht="24" customHeight="1">
      <x:c r="A107" s="3"/>
      <x:c r="B107" s="17" t="d">
        <x:v>2013-03-11T00:00:00.000Z</x:v>
      </x:c>
      <x:c r="C107" s="3" t="str">
        <x:v>D+3 학습</x:v>
      </x:c>
      <x:c r="D107" s="3" t="str">
        <x:v>꾸준형</x:v>
      </x:c>
      <x:c r="E107" s="29" t="n">
        <x:v>583</x:v>
      </x:c>
      <x:c r="F107" s="30"/>
      <x:c r="G107" s="31"/>
      <x:c r="H107" s="31"/>
      <x:c r="I107" s="31"/>
      <x:c r="J107" s="32" t="str">
        <x:v>미관측</x:v>
      </x:c>
      <x:c r="K107" s="24"/>
    </x:row>
    <x:row r="108" ht="24" customHeight="1">
      <x:c r="A108" s="3"/>
      <x:c r="B108" s="17" t="d">
        <x:v>2013-03-11T00:00:00.000Z</x:v>
      </x:c>
      <x:c r="C108" s="3" t="str">
        <x:v>D+3 학습</x:v>
      </x:c>
      <x:c r="D108" s="3" t="str">
        <x:v>습관 형성형</x:v>
      </x:c>
      <x:c r="E108" s="29" t="n">
        <x:v>958</x:v>
      </x:c>
      <x:c r="F108" s="30"/>
      <x:c r="G108" s="31"/>
      <x:c r="H108" s="31"/>
      <x:c r="I108" s="31"/>
      <x:c r="J108" s="32" t="str">
        <x:v>미관측</x:v>
      </x:c>
      <x:c r="K108" s="24"/>
    </x:row>
    <x:row r="109" ht="24" customHeight="1">
      <x:c r="A109" s="3"/>
      <x:c r="B109" s="17" t="d">
        <x:v>2013-03-11T00:00:00.000Z</x:v>
      </x:c>
      <x:c r="C109" s="3" t="str">
        <x:v>D+3 학습</x:v>
      </x:c>
      <x:c r="D109" s="3" t="str">
        <x:v>최근 단발형</x:v>
      </x:c>
      <x:c r="E109" s="29" t="n">
        <x:v>662</x:v>
      </x:c>
      <x:c r="F109" s="30"/>
      <x:c r="G109" s="31"/>
      <x:c r="H109" s="31"/>
      <x:c r="I109" s="31"/>
      <x:c r="J109" s="32" t="str">
        <x:v>미관측</x:v>
      </x:c>
      <x:c r="K109" s="24"/>
    </x:row>
    <x:row r="110" ht="24" customHeight="1">
      <x:c r="A110" s="3"/>
      <x:c r="B110" s="17" t="d">
        <x:v>2013-03-11T00:00:00.000Z</x:v>
      </x:c>
      <x:c r="C110" s="3" t="str">
        <x:v>D+3 학습</x:v>
      </x:c>
      <x:c r="D110" s="3" t="str">
        <x:v>멈춤-꾸준형</x:v>
      </x:c>
      <x:c r="E110" s="29" t="n">
        <x:v>233</x:v>
      </x:c>
      <x:c r="F110" s="30"/>
      <x:c r="G110" s="31"/>
      <x:c r="H110" s="31"/>
      <x:c r="I110" s="31"/>
      <x:c r="J110" s="32" t="str">
        <x:v>미관측</x:v>
      </x:c>
      <x:c r="K110" s="24"/>
    </x:row>
    <x:row r="111" ht="24" customHeight="1">
      <x:c r="A111" s="3"/>
      <x:c r="B111" s="17" t="d">
        <x:v>2013-03-11T00:00:00.000Z</x:v>
      </x:c>
      <x:c r="C111" s="3" t="str">
        <x:v>D+3 학습</x:v>
      </x:c>
      <x:c r="D111" s="3" t="str">
        <x:v>멈춤-몰입형</x:v>
      </x:c>
      <x:c r="E111" s="29" t="n">
        <x:v>446</x:v>
      </x:c>
      <x:c r="F111" s="30"/>
      <x:c r="G111" s="31"/>
      <x:c r="H111" s="31"/>
      <x:c r="I111" s="31"/>
      <x:c r="J111" s="32" t="str">
        <x:v>미관측</x:v>
      </x:c>
      <x:c r="K111" s="24"/>
    </x:row>
    <x:row r="112" ht="24" customHeight="1">
      <x:c r="A112" s="3"/>
      <x:c r="B112" s="17" t="d">
        <x:v>2013-03-11T00:00:00.000Z</x:v>
      </x:c>
      <x:c r="C112" s="3" t="str">
        <x:v>D+3 학습</x:v>
      </x:c>
      <x:c r="D112" s="3" t="str">
        <x:v>멈춤-저활동형</x:v>
      </x:c>
      <x:c r="E112" s="29" t="n">
        <x:v>1044</x:v>
      </x:c>
      <x:c r="F112" s="30"/>
      <x:c r="G112" s="31"/>
      <x:c r="H112" s="31"/>
      <x:c r="I112" s="31"/>
      <x:c r="J112" s="32" t="str">
        <x:v>미관측</x:v>
      </x:c>
      <x:c r="K112" s="24"/>
    </x:row>
    <x:row r="113" ht="24" customHeight="1">
      <x:c r="A113" s="3"/>
      <x:c r="B113" s="16" t="d">
        <x:v>2013-03-11T00:00:00.000Z</x:v>
      </x:c>
      <x:c r="C113" s="11" t="str">
        <x:v>2일 내 추가 학습</x:v>
      </x:c>
      <x:c r="D113" s="11" t="str">
        <x:v>전체</x:v>
      </x:c>
      <x:c r="E113" s="28" t="n">
        <x:v>3926</x:v>
      </x:c>
      <x:c r="F113" s="30"/>
      <x:c r="G113" s="31"/>
      <x:c r="H113" s="31"/>
      <x:c r="I113" s="31"/>
      <x:c r="J113" s="32" t="str">
        <x:v>미관측</x:v>
      </x:c>
      <x:c r="K113" s="24"/>
    </x:row>
    <x:row r="114" ht="24" customHeight="1">
      <x:c r="A114" s="3"/>
      <x:c r="B114" s="17" t="d">
        <x:v>2013-03-11T00:00:00.000Z</x:v>
      </x:c>
      <x:c r="C114" s="3" t="str">
        <x:v>2일 내 추가 학습</x:v>
      </x:c>
      <x:c r="D114" s="3" t="str">
        <x:v>꾸준형</x:v>
      </x:c>
      <x:c r="E114" s="29" t="n">
        <x:v>583</x:v>
      </x:c>
      <x:c r="F114" s="30"/>
      <x:c r="G114" s="31"/>
      <x:c r="H114" s="31"/>
      <x:c r="I114" s="31"/>
      <x:c r="J114" s="32" t="str">
        <x:v>미관측</x:v>
      </x:c>
      <x:c r="K114" s="24"/>
    </x:row>
    <x:row r="115" ht="24" customHeight="1">
      <x:c r="A115" s="3"/>
      <x:c r="B115" s="17" t="d">
        <x:v>2013-03-11T00:00:00.000Z</x:v>
      </x:c>
      <x:c r="C115" s="3" t="str">
        <x:v>2일 내 추가 학습</x:v>
      </x:c>
      <x:c r="D115" s="3" t="str">
        <x:v>습관 형성형</x:v>
      </x:c>
      <x:c r="E115" s="29" t="n">
        <x:v>958</x:v>
      </x:c>
      <x:c r="F115" s="30"/>
      <x:c r="G115" s="31"/>
      <x:c r="H115" s="31"/>
      <x:c r="I115" s="31"/>
      <x:c r="J115" s="32" t="str">
        <x:v>미관측</x:v>
      </x:c>
      <x:c r="K115" s="24"/>
    </x:row>
    <x:row r="116" ht="24" customHeight="1">
      <x:c r="A116" s="3"/>
      <x:c r="B116" s="17" t="d">
        <x:v>2013-03-11T00:00:00.000Z</x:v>
      </x:c>
      <x:c r="C116" s="3" t="str">
        <x:v>2일 내 추가 학습</x:v>
      </x:c>
      <x:c r="D116" s="3" t="str">
        <x:v>최근 단발형</x:v>
      </x:c>
      <x:c r="E116" s="29" t="n">
        <x:v>662</x:v>
      </x:c>
      <x:c r="F116" s="30"/>
      <x:c r="G116" s="31"/>
      <x:c r="H116" s="31"/>
      <x:c r="I116" s="31"/>
      <x:c r="J116" s="32" t="str">
        <x:v>미관측</x:v>
      </x:c>
      <x:c r="K116" s="24"/>
    </x:row>
    <x:row r="117" ht="24" customHeight="1">
      <x:c r="A117" s="3"/>
      <x:c r="B117" s="17" t="d">
        <x:v>2013-03-11T00:00:00.000Z</x:v>
      </x:c>
      <x:c r="C117" s="3" t="str">
        <x:v>2일 내 추가 학습</x:v>
      </x:c>
      <x:c r="D117" s="3" t="str">
        <x:v>멈춤-꾸준형</x:v>
      </x:c>
      <x:c r="E117" s="29" t="n">
        <x:v>233</x:v>
      </x:c>
      <x:c r="F117" s="30"/>
      <x:c r="G117" s="31"/>
      <x:c r="H117" s="31"/>
      <x:c r="I117" s="31"/>
      <x:c r="J117" s="32" t="str">
        <x:v>미관측</x:v>
      </x:c>
      <x:c r="K117" s="24"/>
    </x:row>
    <x:row r="118" ht="24" customHeight="1">
      <x:c r="A118" s="3"/>
      <x:c r="B118" s="17" t="d">
        <x:v>2013-03-11T00:00:00.000Z</x:v>
      </x:c>
      <x:c r="C118" s="3" t="str">
        <x:v>2일 내 추가 학습</x:v>
      </x:c>
      <x:c r="D118" s="3" t="str">
        <x:v>멈춤-몰입형</x:v>
      </x:c>
      <x:c r="E118" s="29" t="n">
        <x:v>446</x:v>
      </x:c>
      <x:c r="F118" s="30"/>
      <x:c r="G118" s="31"/>
      <x:c r="H118" s="31"/>
      <x:c r="I118" s="31"/>
      <x:c r="J118" s="32" t="str">
        <x:v>미관측</x:v>
      </x:c>
      <x:c r="K118" s="24"/>
    </x:row>
    <x:row r="119" ht="24" customHeight="1">
      <x:c r="A119" s="3"/>
      <x:c r="B119" s="17" t="d">
        <x:v>2013-03-11T00:00:00.000Z</x:v>
      </x:c>
      <x:c r="C119" s="3" t="str">
        <x:v>2일 내 추가 학습</x:v>
      </x:c>
      <x:c r="D119" s="3" t="str">
        <x:v>멈춤-저활동형</x:v>
      </x:c>
      <x:c r="E119" s="29" t="n">
        <x:v>1044</x:v>
      </x:c>
      <x:c r="F119" s="30"/>
      <x:c r="G119" s="31"/>
      <x:c r="H119" s="31"/>
      <x:c r="I119" s="31"/>
      <x:c r="J119" s="32" t="str">
        <x:v>미관측</x:v>
      </x:c>
      <x:c r="K119" s="24"/>
    </x:row>
    <x:row r="120" ht="24" customHeight="1">
      <x:c r="A120" s="3"/>
      <x:c r="B120" s="3"/>
      <x:c r="C120" s="3"/>
      <x:c r="D120" s="3"/>
      <x:c r="E120" s="24"/>
      <x:c r="F120" s="24"/>
      <x:c r="G120" s="24"/>
      <x:c r="H120" s="24"/>
      <x:c r="I120" s="24"/>
      <x:c r="J120" s="24"/>
      <x:c r="K120" s="24"/>
    </x:row>
    <x:row r="121" ht="24" customHeight="1">
      <x:c r="A121" s="3"/>
      <x:c r="B121" s="3"/>
      <x:c r="C121" s="3"/>
      <x:c r="D121" s="3"/>
      <x:c r="E121" s="24"/>
      <x:c r="F121" s="24"/>
      <x:c r="G121" s="24"/>
      <x:c r="H121" s="24"/>
      <x:c r="I121" s="24"/>
      <x:c r="J121" s="24"/>
      <x:c r="K121" s="24"/>
    </x:row>
    <x:row r="122" ht="24" customHeight="1">
      <x:c r="A122" s="3"/>
      <x:c r="B122" s="3"/>
      <x:c r="C122" s="3"/>
      <x:c r="D122" s="3"/>
      <x:c r="E122" s="24"/>
      <x:c r="F122" s="24"/>
      <x:c r="G122" s="24"/>
      <x:c r="H122" s="24"/>
      <x:c r="I122" s="24"/>
      <x:c r="J122" s="24"/>
      <x:c r="K122" s="24"/>
    </x:row>
    <x:row r="123" ht="24" customHeight="1">
      <x:c r="A123" s="3"/>
      <x:c r="B123" s="3"/>
      <x:c r="C123" s="3"/>
      <x:c r="D123" s="3"/>
      <x:c r="E123" s="24"/>
      <x:c r="F123" s="24"/>
      <x:c r="G123" s="24"/>
      <x:c r="H123" s="24"/>
      <x:c r="I123" s="24"/>
      <x:c r="J123" s="24"/>
      <x:c r="K123" s="24"/>
    </x:row>
    <x:row r="124" ht="24" customHeight="1">
      <x:c r="A124" s="3"/>
      <x:c r="B124" s="3"/>
      <x:c r="C124" s="3"/>
      <x:c r="D124" s="3"/>
      <x:c r="E124" s="24"/>
      <x:c r="F124" s="24"/>
      <x:c r="G124" s="24"/>
      <x:c r="H124" s="24"/>
      <x:c r="I124" s="24"/>
      <x:c r="J124" s="24"/>
      <x:c r="K124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21" t="str">
        <x:v>전체 조합의 차이와 다중 비교 보정</x:v>
      </x:c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 ht="24" customHeight="1">
      <x:c r="A3" s="3"/>
      <x:c r="B3" s="3" t="str">
        <x:v>차이 = 집단 A − 집단 B. 기준집단 전체 30건 + 같은 복귀일 120건 = 150건.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4" customHeight="1">
      <x:c r="A4" s="3"/>
      <x:c r="B4" s="3" t="str">
        <x:v>95% 차이 구간은 보정 전 Newcombe 구간. 판정은 Holm 보정 p &lt; 0.05 기준.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3"/>
      <x:c r="B5" s="3" t="str">
        <x:v>통계 계산 스냅샷. p가 매우 작으면 &lt;1e-300으로 표시하며 log10(p)도 보존.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4" customHeight="1">
      <x:c r="A6" s="3"/>
      <x:c r="B6" s="3" t="str">
        <x:v>입력: statistics_results.json. 원본 사용자 활동과 기존 v3 요약표의 분자·분모 일치 확인.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 ht="30" customHeight="1">
      <x:c r="A7" s="3"/>
      <x:c r="B7" s="8" t="str">
        <x:v>복귀일/범위</x:v>
      </x:c>
      <x:c r="C7" s="8" t="str">
        <x:v>지표</x:v>
      </x:c>
      <x:c r="D7" s="8" t="str">
        <x:v>집단 A</x:v>
      </x:c>
      <x:c r="E7" s="8" t="str">
        <x:v>집단 B</x:v>
      </x:c>
      <x:c r="F7" s="8" t="str">
        <x:v>A 인원</x:v>
      </x:c>
      <x:c r="G7" s="8" t="str">
        <x:v>B 인원</x:v>
      </x:c>
      <x:c r="H7" s="8" t="str">
        <x:v>A 비율</x:v>
      </x:c>
      <x:c r="I7" s="8" t="str">
        <x:v>B 비율</x:v>
      </x:c>
      <x:c r="J7" s="8" t="str">
        <x:v>차이 (%p)</x:v>
      </x:c>
      <x:c r="K7" s="8" t="str">
        <x:v>95% 하한</x:v>
      </x:c>
      <x:c r="L7" s="8" t="str">
        <x:v>95% 상한</x:v>
      </x:c>
      <x:c r="M7" s="8" t="str">
        <x:v>Holm p</x:v>
      </x:c>
      <x:c r="N7" s="8" t="str">
        <x:v>보정 후 판정</x:v>
      </x:c>
      <x:c r="O7" s="8" t="str">
        <x:v>원래 p</x:v>
      </x:c>
      <x:c r="P7" s="8" t="str">
        <x:v>log10(Holm p)</x:v>
      </x:c>
    </x:row>
    <x:row r="8" ht="24" customHeight="1">
      <x:c r="A8" s="3"/>
      <x:c r="B8" s="17" t="str">
        <x:v>전체 기준집단</x:v>
      </x:c>
      <x:c r="C8" s="3" t="str">
        <x:v>2일 이상 학습</x:v>
      </x:c>
      <x:c r="D8" s="3" t="str">
        <x:v>꾸준형</x:v>
      </x:c>
      <x:c r="E8" s="24" t="str">
        <x:v>습관 형성형</x:v>
      </x:c>
      <x:c r="F8" s="29" t="n">
        <x:v>8882</x:v>
      </x:c>
      <x:c r="G8" s="29" t="n">
        <x:v>14583</x:v>
      </x:c>
      <x:c r="H8" s="25" t="n">
        <x:v>0.5587705471740599</x:v>
      </x:c>
      <x:c r="I8" s="25" t="n">
        <x:v>0.2442570115888363</x:v>
      </x:c>
      <x:c r="J8" s="27" t="n">
        <x:f>(H8-I8)*100</x:f>
        <x:v>31.451353558522367</x:v>
      </x:c>
      <x:c r="K8" s="27" t="n">
        <x:v>30.19966474897088</x:v>
      </x:c>
      <x:c r="L8" s="27" t="n">
        <x:v>32.691292385399656</x:v>
      </x:c>
      <x:c r="M8" s="33" t="str">
        <x:v>&lt;1e-300</x:v>
      </x:c>
      <x:c r="N8" s="24" t="str">
        <x:v>유의</x:v>
      </x:c>
      <x:c r="O8" s="33" t="str">
        <x:v>&lt;1e-300</x:v>
      </x:c>
      <x:c r="P8" s="27" t="n">
        <x:v>-512.2178414361223</x:v>
      </x:c>
    </x:row>
    <x:row r="9" ht="24" customHeight="1">
      <x:c r="A9" s="3"/>
      <x:c r="B9" s="17" t="str">
        <x:v>전체 기준집단</x:v>
      </x:c>
      <x:c r="C9" s="3" t="str">
        <x:v>2일 이상 학습</x:v>
      </x:c>
      <x:c r="D9" s="3" t="str">
        <x:v>꾸준형</x:v>
      </x:c>
      <x:c r="E9" s="24" t="str">
        <x:v>최근 단발형</x:v>
      </x:c>
      <x:c r="F9" s="29" t="n">
        <x:v>8882</x:v>
      </x:c>
      <x:c r="G9" s="29" t="n">
        <x:v>15402</x:v>
      </x:c>
      <x:c r="H9" s="25" t="n">
        <x:v>0.5587705471740599</x:v>
      </x:c>
      <x:c r="I9" s="25" t="n">
        <x:v>0.12089339046877029</x:v>
      </x:c>
      <x:c r="J9" s="27" t="n">
        <x:f>(H9-I9)*100</x:f>
        <x:v>43.78771567052897</x:v>
      </x:c>
      <x:c r="K9" s="27" t="n">
        <x:v>42.62753192487156</x:v>
      </x:c>
      <x:c r="L9" s="27" t="n">
        <x:v>44.9349147005086</x:v>
      </x:c>
      <x:c r="M9" s="33" t="str">
        <x:v>&lt;1e-300</x:v>
      </x:c>
      <x:c r="N9" s="24" t="str">
        <x:v>유의</x:v>
      </x:c>
      <x:c r="O9" s="33" t="str">
        <x:v>&lt;1e-300</x:v>
      </x:c>
      <x:c r="P9" s="27" t="n">
        <x:v>-1160.5616400241004</x:v>
      </x:c>
    </x:row>
    <x:row r="10" ht="24" customHeight="1">
      <x:c r="A10" s="3"/>
      <x:c r="B10" s="17" t="str">
        <x:v>전체 기준집단</x:v>
      </x:c>
      <x:c r="C10" s="3" t="str">
        <x:v>2일 이상 학습</x:v>
      </x:c>
      <x:c r="D10" s="3" t="str">
        <x:v>꾸준형</x:v>
      </x:c>
      <x:c r="E10" s="24" t="str">
        <x:v>멈춤-꾸준형</x:v>
      </x:c>
      <x:c r="F10" s="29" t="n">
        <x:v>8882</x:v>
      </x:c>
      <x:c r="G10" s="29" t="n">
        <x:v>3627</x:v>
      </x:c>
      <x:c r="H10" s="25" t="n">
        <x:v>0.5587705471740599</x:v>
      </x:c>
      <x:c r="I10" s="25" t="n">
        <x:v>0.22277364212848083</x:v>
      </x:c>
      <x:c r="J10" s="27" t="n">
        <x:f>(H10-I10)*100</x:f>
        <x:v>33.59969050455791</x:v>
      </x:c>
      <x:c r="K10" s="27" t="n">
        <x:v>31.87222487870515</x:v>
      </x:c>
      <x:c r="L10" s="27" t="n">
        <x:v>35.27743131211366</x:v>
      </x:c>
      <x:c r="M10" s="33" t="n">
        <x:v>2.7666461836297727e-254</x:v>
      </x:c>
      <x:c r="N10" s="24" t="str">
        <x:v>유의</x:v>
      </x:c>
      <x:c r="O10" s="33" t="n">
        <x:v>2.0646613310669567e-256</x:v>
      </x:c>
      <x:c r="P10" s="27" t="n">
        <x:v>-253.55804637765783</x:v>
      </x:c>
    </x:row>
    <x:row r="11" ht="24" customHeight="1">
      <x:c r="A11" s="3"/>
      <x:c r="B11" s="17" t="str">
        <x:v>전체 기준집단</x:v>
      </x:c>
      <x:c r="C11" s="3" t="str">
        <x:v>2일 이상 학습</x:v>
      </x:c>
      <x:c r="D11" s="3" t="str">
        <x:v>꾸준형</x:v>
      </x:c>
      <x:c r="E11" s="24" t="str">
        <x:v>멈춤-몰입형</x:v>
      </x:c>
      <x:c r="F11" s="29" t="n">
        <x:v>8882</x:v>
      </x:c>
      <x:c r="G11" s="29" t="n">
        <x:v>9303</x:v>
      </x:c>
      <x:c r="H11" s="25" t="n">
        <x:v>0.5587705471740599</x:v>
      </x:c>
      <x:c r="I11" s="25" t="n">
        <x:v>0.09040094593141997</x:v>
      </x:c>
      <x:c r="J11" s="27" t="n">
        <x:f>(H11-I11)*100</x:f>
        <x:v>46.836960124263996</x:v>
      </x:c>
      <x:c r="K11" s="27" t="n">
        <x:v>45.64080353334633</x:v>
      </x:c>
      <x:c r="L11" s="27" t="n">
        <x:v>48.01207036337779</x:v>
      </x:c>
      <x:c r="M11" s="33" t="str">
        <x:v>&lt;1e-300</x:v>
      </x:c>
      <x:c r="N11" s="24" t="str">
        <x:v>유의</x:v>
      </x:c>
      <x:c r="O11" s="33" t="str">
        <x:v>&lt;1e-300</x:v>
      </x:c>
      <x:c r="P11" s="27" t="n">
        <x:v>-995.8539197050987</x:v>
      </x:c>
    </x:row>
    <x:row r="12" ht="24" customHeight="1">
      <x:c r="A12" s="3"/>
      <x:c r="B12" s="17" t="str">
        <x:v>전체 기준집단</x:v>
      </x:c>
      <x:c r="C12" s="3" t="str">
        <x:v>2일 이상 학습</x:v>
      </x:c>
      <x:c r="D12" s="3" t="str">
        <x:v>꾸준형</x:v>
      </x:c>
      <x:c r="E12" s="24" t="str">
        <x:v>멈춤-저활동형</x:v>
      </x:c>
      <x:c r="F12" s="29" t="n">
        <x:v>8882</x:v>
      </x:c>
      <x:c r="G12" s="29" t="n">
        <x:v>30670</x:v>
      </x:c>
      <x:c r="H12" s="25" t="n">
        <x:v>0.5587705471740599</x:v>
      </x:c>
      <x:c r="I12" s="25" t="n">
        <x:v>0.046625366807955655</x:v>
      </x:c>
      <x:c r="J12" s="27" t="n">
        <x:f>(H12-I12)*100</x:f>
        <x:v>51.21451803661042</x:v>
      </x:c>
      <x:c r="K12" s="27" t="n">
        <x:v>50.151728556838016</x:v>
      </x:c>
      <x:c r="L12" s="27" t="n">
        <x:v>52.26982326211128</x:v>
      </x:c>
      <x:c r="M12" s="33" t="str">
        <x:v>&lt;1e-300</x:v>
      </x:c>
      <x:c r="N12" s="24" t="str">
        <x:v>유의</x:v>
      </x:c>
      <x:c r="O12" s="33" t="str">
        <x:v>&lt;1e-300</x:v>
      </x:c>
      <x:c r="P12" s="27" t="n">
        <x:v>-2894.8430718557097</x:v>
      </x:c>
    </x:row>
    <x:row r="13" ht="24" customHeight="1">
      <x:c r="A13" s="3"/>
      <x:c r="B13" s="17" t="str">
        <x:v>전체 기준집단</x:v>
      </x:c>
      <x:c r="C13" s="3" t="str">
        <x:v>2일 이상 학습</x:v>
      </x:c>
      <x:c r="D13" s="3" t="str">
        <x:v>습관 형성형</x:v>
      </x:c>
      <x:c r="E13" s="24" t="str">
        <x:v>최근 단발형</x:v>
      </x:c>
      <x:c r="F13" s="29" t="n">
        <x:v>14583</x:v>
      </x:c>
      <x:c r="G13" s="29" t="n">
        <x:v>15402</x:v>
      </x:c>
      <x:c r="H13" s="25" t="n">
        <x:v>0.2442570115888363</x:v>
      </x:c>
      <x:c r="I13" s="25" t="n">
        <x:v>0.12089339046877029</x:v>
      </x:c>
      <x:c r="J13" s="27" t="n">
        <x:f>(H13-I13)*100</x:f>
        <x:v>12.336362112006602</x:v>
      </x:c>
      <x:c r="K13" s="27" t="n">
        <x:v>11.469326306419177</x:v>
      </x:c>
      <x:c r="L13" s="27" t="n">
        <x:v>13.203003306750885</x:v>
      </x:c>
      <x:c r="M13" s="33" t="n">
        <x:v>3.200241561755125e-167</x:v>
      </x:c>
      <x:c r="N13" s="24" t="str">
        <x:v>유의</x:v>
      </x:c>
      <x:c r="O13" s="33" t="n">
        <x:v>2.4617242782731455e-169</x:v>
      </x:c>
      <x:c r="P13" s="27" t="n">
        <x:v>-166.4948172388745</x:v>
      </x:c>
    </x:row>
    <x:row r="14" ht="24" customHeight="1">
      <x:c r="A14" s="3"/>
      <x:c r="B14" s="17" t="str">
        <x:v>전체 기준집단</x:v>
      </x:c>
      <x:c r="C14" s="3" t="str">
        <x:v>2일 이상 학습</x:v>
      </x:c>
      <x:c r="D14" s="3" t="str">
        <x:v>습관 형성형</x:v>
      </x:c>
      <x:c r="E14" s="24" t="str">
        <x:v>멈춤-꾸준형</x:v>
      </x:c>
      <x:c r="F14" s="29" t="n">
        <x:v>14583</x:v>
      </x:c>
      <x:c r="G14" s="29" t="n">
        <x:v>3627</x:v>
      </x:c>
      <x:c r="H14" s="25" t="n">
        <x:v>0.2442570115888363</x:v>
      </x:c>
      <x:c r="I14" s="25" t="n">
        <x:v>0.22277364212848083</x:v>
      </x:c>
      <x:c r="J14" s="27" t="n">
        <x:f>(H14-I14)*100</x:f>
        <x:v>2.1483369460355477</x:v>
      </x:c>
      <x:c r="K14" s="27" t="n">
        <x:v>0.6024190138716644</x:v>
      </x:c>
      <x:c r="L14" s="27" t="n">
        <x:v>3.648275465902087</x:v>
      </x:c>
      <x:c r="M14" s="33" t="n">
        <x:v>0.1810621026017299</x:v>
      </x:c>
      <x:c r="N14" s="24" t="str">
        <x:v>유의하지 않음</x:v>
      </x:c>
      <x:c r="O14" s="33" t="n">
        <x:v>0.00670600380006407</x:v>
      </x:c>
      <x:c r="P14" s="27" t="n">
        <x:v>-0.7421724406482428</x:v>
      </x:c>
    </x:row>
    <x:row r="15" ht="24" customHeight="1">
      <x:c r="A15" s="3"/>
      <x:c r="B15" s="17" t="str">
        <x:v>전체 기준집단</x:v>
      </x:c>
      <x:c r="C15" s="3" t="str">
        <x:v>2일 이상 학습</x:v>
      </x:c>
      <x:c r="D15" s="3" t="str">
        <x:v>습관 형성형</x:v>
      </x:c>
      <x:c r="E15" s="24" t="str">
        <x:v>멈춤-몰입형</x:v>
      </x:c>
      <x:c r="F15" s="29" t="n">
        <x:v>14583</x:v>
      </x:c>
      <x:c r="G15" s="29" t="n">
        <x:v>9303</x:v>
      </x:c>
      <x:c r="H15" s="25" t="n">
        <x:v>0.2442570115888363</x:v>
      </x:c>
      <x:c r="I15" s="25" t="n">
        <x:v>0.09040094593141997</x:v>
      </x:c>
      <x:c r="J15" s="27" t="n">
        <x:f>(H15-I15)*100</x:f>
        <x:v>15.385606565741632</x:v>
      </x:c>
      <x:c r="K15" s="27" t="n">
        <x:v>14.47099443238741</x:v>
      </x:c>
      <x:c r="L15" s="27" t="n">
        <x:v>16.28887032573185</x:v>
      </x:c>
      <x:c r="M15" s="33" t="n">
        <x:v>2.3714309773022273e-194</x:v>
      </x:c>
      <x:c r="N15" s="24" t="str">
        <x:v>유의</x:v>
      </x:c>
      <x:c r="O15" s="33" t="n">
        <x:v>1.7830308100016432e-196</x:v>
      </x:c>
      <x:c r="P15" s="27" t="n">
        <x:v>-193.62498951137178</x:v>
      </x:c>
    </x:row>
    <x:row r="16" ht="24" customHeight="1">
      <x:c r="A16" s="3"/>
      <x:c r="B16" s="17" t="str">
        <x:v>전체 기준집단</x:v>
      </x:c>
      <x:c r="C16" s="3" t="str">
        <x:v>2일 이상 학습</x:v>
      </x:c>
      <x:c r="D16" s="3" t="str">
        <x:v>습관 형성형</x:v>
      </x:c>
      <x:c r="E16" s="24" t="str">
        <x:v>멈춤-저활동형</x:v>
      </x:c>
      <x:c r="F16" s="29" t="n">
        <x:v>14583</x:v>
      </x:c>
      <x:c r="G16" s="29" t="n">
        <x:v>30670</x:v>
      </x:c>
      <x:c r="H16" s="25" t="n">
        <x:v>0.2442570115888363</x:v>
      </x:c>
      <x:c r="I16" s="25" t="n">
        <x:v>0.046625366807955655</x:v>
      </x:c>
      <x:c r="J16" s="27" t="n">
        <x:f>(H16-I16)*100</x:f>
        <x:v>19.763164478088065</x:v>
      </x:c>
      <x:c r="K16" s="27" t="n">
        <x:v>19.031559227424914</x:v>
      </x:c>
      <x:c r="L16" s="27" t="n">
        <x:v>20.503887412126836</x:v>
      </x:c>
      <x:c r="M16" s="33" t="str">
        <x:v>&lt;1e-300</x:v>
      </x:c>
      <x:c r="N16" s="24" t="str">
        <x:v>유의</x:v>
      </x:c>
      <x:c r="O16" s="33" t="str">
        <x:v>&lt;1e-300</x:v>
      </x:c>
      <x:c r="P16" s="27" t="n">
        <x:v>-853.8548803481794</x:v>
      </x:c>
    </x:row>
    <x:row r="17" ht="24" customHeight="1">
      <x:c r="A17" s="3"/>
      <x:c r="B17" s="17" t="str">
        <x:v>전체 기준집단</x:v>
      </x:c>
      <x:c r="C17" s="3" t="str">
        <x:v>2일 이상 학습</x:v>
      </x:c>
      <x:c r="D17" s="3" t="str">
        <x:v>최근 단발형</x:v>
      </x:c>
      <x:c r="E17" s="24" t="str">
        <x:v>멈춤-꾸준형</x:v>
      </x:c>
      <x:c r="F17" s="29" t="n">
        <x:v>15402</x:v>
      </x:c>
      <x:c r="G17" s="29" t="n">
        <x:v>3627</x:v>
      </x:c>
      <x:c r="H17" s="25" t="n">
        <x:v>0.12089339046877029</x:v>
      </x:c>
      <x:c r="I17" s="25" t="n">
        <x:v>0.22277364212848083</x:v>
      </x:c>
      <x:c r="J17" s="27" t="n">
        <x:f>(H17-I17)*100</x:f>
        <x:v>-10.188025165971053</x:v>
      </x:c>
      <x:c r="K17" s="27" t="n">
        <x:v>-11.66060099524921</x:v>
      </x:c>
      <x:c r="L17" s="27" t="n">
        <x:v>-8.763554383150062</x:v>
      </x:c>
      <x:c r="M17" s="33" t="n">
        <x:v>7.701464636706184e-55</x:v>
      </x:c>
      <x:c r="N17" s="24" t="str">
        <x:v>유의</x:v>
      </x:c>
      <x:c r="O17" s="33" t="n">
        <x:v>7.001331487914716e-57</x:v>
      </x:c>
      <x:c r="P17" s="27" t="n">
        <x:v>-54.113426674418214</x:v>
      </x:c>
    </x:row>
    <x:row r="18" ht="24" customHeight="1">
      <x:c r="A18" s="3"/>
      <x:c r="B18" s="17" t="str">
        <x:v>전체 기준집단</x:v>
      </x:c>
      <x:c r="C18" s="3" t="str">
        <x:v>2일 이상 학습</x:v>
      </x:c>
      <x:c r="D18" s="3" t="str">
        <x:v>최근 단발형</x:v>
      </x:c>
      <x:c r="E18" s="24" t="str">
        <x:v>멈춤-몰입형</x:v>
      </x:c>
      <x:c r="F18" s="29" t="n">
        <x:v>15402</x:v>
      </x:c>
      <x:c r="G18" s="29" t="n">
        <x:v>9303</x:v>
      </x:c>
      <x:c r="H18" s="25" t="n">
        <x:v>0.12089339046877029</x:v>
      </x:c>
      <x:c r="I18" s="25" t="n">
        <x:v>0.09040094593141997</x:v>
      </x:c>
      <x:c r="J18" s="27" t="n">
        <x:f>(H18-I18)*100</x:f>
        <x:v>3.0492444537350325</x:v>
      </x:c>
      <x:c r="K18" s="27" t="n">
        <x:v>2.264940511078136</x:v>
      </x:c>
      <x:c r="L18" s="27" t="n">
        <x:v>3.820728003684664</x:v>
      </x:c>
      <x:c r="M18" s="33" t="n">
        <x:v>8.099123186647803e-12</x:v>
      </x:c>
      <x:c r="N18" s="24" t="str">
        <x:v>유의</x:v>
      </x:c>
      <x:c r="O18" s="33" t="n">
        <x:v>1.0123903983309758e-13</x:v>
      </x:c>
      <x:c r="P18" s="27" t="n">
        <x:v>-11.09156199541916</x:v>
      </x:c>
    </x:row>
    <x:row r="19" ht="24" customHeight="1">
      <x:c r="A19" s="3"/>
      <x:c r="B19" s="17" t="str">
        <x:v>전체 기준집단</x:v>
      </x:c>
      <x:c r="C19" s="3" t="str">
        <x:v>2일 이상 학습</x:v>
      </x:c>
      <x:c r="D19" s="3" t="str">
        <x:v>최근 단발형</x:v>
      </x:c>
      <x:c r="E19" s="24" t="str">
        <x:v>멈춤-저활동형</x:v>
      </x:c>
      <x:c r="F19" s="29" t="n">
        <x:v>15402</x:v>
      </x:c>
      <x:c r="G19" s="29" t="n">
        <x:v>30670</x:v>
      </x:c>
      <x:c r="H19" s="25" t="n">
        <x:v>0.12089339046877029</x:v>
      </x:c>
      <x:c r="I19" s="25" t="n">
        <x:v>0.046625366807955655</x:v>
      </x:c>
      <x:c r="J19" s="27" t="n">
        <x:f>(H19-I19)*100</x:f>
        <x:v>7.426802366081464</x:v>
      </x:c>
      <x:c r="K19" s="27" t="n">
        <x:v>6.866567091588435</x:v>
      </x:c>
      <x:c r="L19" s="27" t="n">
        <x:v>7.999490686847855</x:v>
      </x:c>
      <x:c r="M19" s="33" t="n">
        <x:v>2.899642115711461e-185</x:v>
      </x:c>
      <x:c r="N19" s="24" t="str">
        <x:v>유의</x:v>
      </x:c>
      <x:c r="O19" s="33" t="n">
        <x:v>2.2134672639018203e-187</x:v>
      </x:c>
      <x:c r="P19" s="27" t="n">
        <x:v>-184.5376556009848</x:v>
      </x:c>
    </x:row>
    <x:row r="20" ht="24" customHeight="1">
      <x:c r="A20" s="3"/>
      <x:c r="B20" s="17" t="str">
        <x:v>전체 기준집단</x:v>
      </x:c>
      <x:c r="C20" s="3" t="str">
        <x:v>2일 이상 학습</x:v>
      </x:c>
      <x:c r="D20" s="3" t="str">
        <x:v>멈춤-꾸준형</x:v>
      </x:c>
      <x:c r="E20" s="24" t="str">
        <x:v>멈춤-몰입형</x:v>
      </x:c>
      <x:c r="F20" s="29" t="n">
        <x:v>3627</x:v>
      </x:c>
      <x:c r="G20" s="29" t="n">
        <x:v>9303</x:v>
      </x:c>
      <x:c r="H20" s="25" t="n">
        <x:v>0.22277364212848083</x:v>
      </x:c>
      <x:c r="I20" s="25" t="n">
        <x:v>0.09040094593141997</x:v>
      </x:c>
      <x:c r="J20" s="27" t="n">
        <x:f>(H20-I20)*100</x:f>
        <x:v>13.237269619706089</x:v>
      </x:c>
      <x:c r="K20" s="27" t="n">
        <x:v>11.783350338102473</x:v>
      </x:c>
      <x:c r="L20" s="27" t="n">
        <x:v>14.7316919270403</x:v>
      </x:c>
      <x:c r="M20" s="33" t="n">
        <x:v>2.6983185869570858e-89</x:v>
      </x:c>
      <x:c r="N20" s="24" t="str">
        <x:v>유의</x:v>
      </x:c>
      <x:c r="O20" s="33" t="n">
        <x:v>2.2674946108882807e-91</x:v>
      </x:c>
      <x:c r="P20" s="27" t="n">
        <x:v>-88.5689067750536</x:v>
      </x:c>
    </x:row>
    <x:row r="21" ht="24" customHeight="1">
      <x:c r="A21" s="3"/>
      <x:c r="B21" s="17" t="str">
        <x:v>전체 기준집단</x:v>
      </x:c>
      <x:c r="C21" s="3" t="str">
        <x:v>2일 이상 학습</x:v>
      </x:c>
      <x:c r="D21" s="3" t="str">
        <x:v>멈춤-꾸준형</x:v>
      </x:c>
      <x:c r="E21" s="24" t="str">
        <x:v>멈춤-저활동형</x:v>
      </x:c>
      <x:c r="F21" s="29" t="n">
        <x:v>3627</x:v>
      </x:c>
      <x:c r="G21" s="29" t="n">
        <x:v>30670</x:v>
      </x:c>
      <x:c r="H21" s="25" t="n">
        <x:v>0.22277364212848083</x:v>
      </x:c>
      <x:c r="I21" s="25" t="n">
        <x:v>0.046625366807955655</x:v>
      </x:c>
      <x:c r="J21" s="27" t="n">
        <x:f>(H21-I21)*100</x:f>
        <x:v>17.61482753205252</x:v>
      </x:c>
      <x:c r="K21" s="27" t="n">
        <x:v>16.268494673604096</x:v>
      </x:c>
      <x:c r="L21" s="27" t="n">
        <x:v>19.01699837669216</x:v>
      </x:c>
      <x:c r="M21" s="33" t="str">
        <x:v>&lt;1e-300</x:v>
      </x:c>
      <x:c r="N21" s="24" t="str">
        <x:v>유의</x:v>
      </x:c>
      <x:c r="O21" s="33" t="str">
        <x:v>&lt;1e-300</x:v>
      </x:c>
      <x:c r="P21" s="27" t="n">
        <x:v>-357.83758741792485</x:v>
      </x:c>
    </x:row>
    <x:row r="22" ht="24" customHeight="1">
      <x:c r="A22" s="3"/>
      <x:c r="B22" s="17" t="str">
        <x:v>전체 기준집단</x:v>
      </x:c>
      <x:c r="C22" s="3" t="str">
        <x:v>2일 이상 학습</x:v>
      </x:c>
      <x:c r="D22" s="3" t="str">
        <x:v>멈춤-몰입형</x:v>
      </x:c>
      <x:c r="E22" s="24" t="str">
        <x:v>멈춤-저활동형</x:v>
      </x:c>
      <x:c r="F22" s="29" t="n">
        <x:v>9303</x:v>
      </x:c>
      <x:c r="G22" s="29" t="n">
        <x:v>30670</x:v>
      </x:c>
      <x:c r="H22" s="25" t="n">
        <x:v>0.09040094593141997</x:v>
      </x:c>
      <x:c r="I22" s="25" t="n">
        <x:v>0.046625366807955655</x:v>
      </x:c>
      <x:c r="J22" s="27" t="n">
        <x:f>(H22-I22)*100</x:f>
        <x:v>4.377557912346431</x:v>
      </x:c>
      <x:c r="K22" s="27" t="n">
        <x:v>3.7621864615379446</x:v>
      </x:c>
      <x:c r="L22" s="27" t="n">
        <x:v>5.020003380110315</x:v>
      </x:c>
      <x:c r="M22" s="33" t="n">
        <x:v>2.0729355704201324e-55</x:v>
      </x:c>
      <x:c r="N22" s="24" t="str">
        <x:v>유의</x:v>
      </x:c>
      <x:c r="O22" s="33" t="n">
        <x:v>1.8508353307322567e-57</x:v>
      </x:c>
      <x:c r="P22" s="27" t="n">
        <x:v>-54.6834141961434</x:v>
      </x:c>
    </x:row>
    <x:row r="23" ht="24" customHeight="1">
      <x:c r="A23" s="3"/>
      <x:c r="B23" s="17" t="str">
        <x:v>전체 기준집단</x:v>
      </x:c>
      <x:c r="C23" s="3" t="str">
        <x:v>4일 내 재학습</x:v>
      </x:c>
      <x:c r="D23" s="3" t="str">
        <x:v>꾸준형</x:v>
      </x:c>
      <x:c r="E23" s="24" t="str">
        <x:v>습관 형성형</x:v>
      </x:c>
      <x:c r="F23" s="29" t="n">
        <x:v>8882</x:v>
      </x:c>
      <x:c r="G23" s="29" t="n">
        <x:v>14583</x:v>
      </x:c>
      <x:c r="H23" s="25" t="n">
        <x:v>0.803310065300608</x:v>
      </x:c>
      <x:c r="I23" s="25" t="n">
        <x:v>0.5217033532195021</x:v>
      </x:c>
      <x:c r="J23" s="27" t="n">
        <x:f>(H23-I23)*100</x:f>
        <x:v>28.16067120811059</x:v>
      </x:c>
      <x:c r="K23" s="27" t="n">
        <x:v>26.99392429881373</x:v>
      </x:c>
      <x:c r="L23" s="27" t="n">
        <x:v>29.309495619508436</x:v>
      </x:c>
      <x:c r="M23" s="33" t="str">
        <x:v>&lt;1e-300</x:v>
      </x:c>
      <x:c r="N23" s="24" t="str">
        <x:v>유의</x:v>
      </x:c>
      <x:c r="O23" s="33" t="str">
        <x:v>&lt;1e-300</x:v>
      </x:c>
      <x:c r="P23" s="27" t="n">
        <x:v>-406.6062764865823</x:v>
      </x:c>
    </x:row>
    <x:row r="24" ht="24" customHeight="1">
      <x:c r="A24" s="3"/>
      <x:c r="B24" s="17" t="str">
        <x:v>전체 기준집단</x:v>
      </x:c>
      <x:c r="C24" s="3" t="str">
        <x:v>4일 내 재학습</x:v>
      </x:c>
      <x:c r="D24" s="3" t="str">
        <x:v>꾸준형</x:v>
      </x:c>
      <x:c r="E24" s="24" t="str">
        <x:v>최근 단발형</x:v>
      </x:c>
      <x:c r="F24" s="29" t="n">
        <x:v>8882</x:v>
      </x:c>
      <x:c r="G24" s="29" t="n">
        <x:v>15402</x:v>
      </x:c>
      <x:c r="H24" s="25" t="n">
        <x:v>0.803310065300608</x:v>
      </x:c>
      <x:c r="I24" s="25" t="n">
        <x:v>0.3250227243215167</x:v>
      </x:c>
      <x:c r="J24" s="27" t="n">
        <x:f>(H24-I24)*100</x:f>
        <x:v>47.828734097909134</x:v>
      </x:c>
      <x:c r="K24" s="27" t="n">
        <x:v>46.70685498720411</x:v>
      </x:c>
      <x:c r="L24" s="27" t="n">
        <x:v>48.92525147906658</x:v>
      </x:c>
      <x:c r="M24" s="33" t="str">
        <x:v>&lt;1e-300</x:v>
      </x:c>
      <x:c r="N24" s="24" t="str">
        <x:v>유의</x:v>
      </x:c>
      <x:c r="O24" s="33" t="str">
        <x:v>&lt;1e-300</x:v>
      </x:c>
      <x:c r="P24" s="27" t="n">
        <x:v>-1119.1270093197174</x:v>
      </x:c>
    </x:row>
    <x:row r="25" ht="24" customHeight="1">
      <x:c r="A25" s="3"/>
      <x:c r="B25" s="17" t="str">
        <x:v>전체 기준집단</x:v>
      </x:c>
      <x:c r="C25" s="3" t="str">
        <x:v>4일 내 재학습</x:v>
      </x:c>
      <x:c r="D25" s="3" t="str">
        <x:v>꾸준형</x:v>
      </x:c>
      <x:c r="E25" s="24" t="str">
        <x:v>멈춤-꾸준형</x:v>
      </x:c>
      <x:c r="F25" s="29" t="n">
        <x:v>8882</x:v>
      </x:c>
      <x:c r="G25" s="29" t="n">
        <x:v>3627</x:v>
      </x:c>
      <x:c r="H25" s="25" t="n">
        <x:v>0.803310065300608</x:v>
      </x:c>
      <x:c r="I25" s="25" t="n">
        <x:v>0.4571271022883926</x:v>
      </x:c>
      <x:c r="J25" s="27" t="n">
        <x:f>(H25-I25)*100</x:f>
        <x:v>34.61829630122154</x:v>
      </x:c>
      <x:c r="K25" s="27" t="n">
        <x:v>32.789252541870425</x:v>
      </x:c>
      <x:c r="L25" s="27" t="n">
        <x:v>36.42734219948757</x:v>
      </x:c>
      <x:c r="M25" s="33" t="n">
        <x:v>3.384e-321</x:v>
      </x:c>
      <x:c r="N25" s="24" t="str">
        <x:v>유의</x:v>
      </x:c>
      <x:c r="O25" s="33" t="n">
        <x:v>2.5e-323</x:v>
      </x:c>
      <x:c r="P25" s="27" t="n">
        <x:v>-320.4705247716234</x:v>
      </x:c>
    </x:row>
    <x:row r="26" ht="24" customHeight="1">
      <x:c r="A26" s="3"/>
      <x:c r="B26" s="17" t="str">
        <x:v>전체 기준집단</x:v>
      </x:c>
      <x:c r="C26" s="3" t="str">
        <x:v>4일 내 재학습</x:v>
      </x:c>
      <x:c r="D26" s="3" t="str">
        <x:v>꾸준형</x:v>
      </x:c>
      <x:c r="E26" s="24" t="str">
        <x:v>멈춤-몰입형</x:v>
      </x:c>
      <x:c r="F26" s="29" t="n">
        <x:v>8882</x:v>
      </x:c>
      <x:c r="G26" s="29" t="n">
        <x:v>9303</x:v>
      </x:c>
      <x:c r="H26" s="25" t="n">
        <x:v>0.803310065300608</x:v>
      </x:c>
      <x:c r="I26" s="25" t="n">
        <x:v>0.26400085993765454</x:v>
      </x:c>
      <x:c r="J26" s="27" t="n">
        <x:f>(H26-I26)*100</x:f>
        <x:v>53.930920536295346</x:v>
      </x:c>
      <x:c r="K26" s="27" t="n">
        <x:v>52.69612125952443</x:v>
      </x:c>
      <x:c r="L26" s="27" t="n">
        <x:v>55.1336170513573</x:v>
      </x:c>
      <x:c r="M26" s="33" t="str">
        <x:v>&lt;1e-300</x:v>
      </x:c>
      <x:c r="N26" s="24" t="str">
        <x:v>유의</x:v>
      </x:c>
      <x:c r="O26" s="33" t="str">
        <x:v>&lt;1e-300</x:v>
      </x:c>
      <x:c r="P26" s="27" t="n">
        <x:v>-1151.1737822688049</x:v>
      </x:c>
    </x:row>
    <x:row r="27" ht="24" customHeight="1">
      <x:c r="A27" s="3"/>
      <x:c r="B27" s="17" t="str">
        <x:v>전체 기준집단</x:v>
      </x:c>
      <x:c r="C27" s="3" t="str">
        <x:v>4일 내 재학습</x:v>
      </x:c>
      <x:c r="D27" s="3" t="str">
        <x:v>꾸준형</x:v>
      </x:c>
      <x:c r="E27" s="24" t="str">
        <x:v>멈춤-저활동형</x:v>
      </x:c>
      <x:c r="F27" s="29" t="n">
        <x:v>8882</x:v>
      </x:c>
      <x:c r="G27" s="29" t="n">
        <x:v>30670</x:v>
      </x:c>
      <x:c r="H27" s="25" t="n">
        <x:v>0.803310065300608</x:v>
      </x:c>
      <x:c r="I27" s="25" t="n">
        <x:v>0.17531790022823607</x:v>
      </x:c>
      <x:c r="J27" s="27" t="n">
        <x:f>(H27-I27)*100</x:f>
        <x:v>62.79921650723719</x:v>
      </x:c>
      <x:c r="K27" s="27" t="n">
        <x:v>61.85600456851967</x:v>
      </x:c>
      <x:c r="L27" s="27" t="n">
        <x:v>63.71538971081511</x:v>
      </x:c>
      <x:c r="M27" s="33" t="str">
        <x:v>&lt;1e-300</x:v>
      </x:c>
      <x:c r="N27" s="24" t="str">
        <x:v>유의</x:v>
      </x:c>
      <x:c r="O27" s="33" t="str">
        <x:v>&lt;1e-300</x:v>
      </x:c>
      <x:c r="P27" s="27" t="n">
        <x:v>-2727.2079834420883</x:v>
      </x:c>
    </x:row>
    <x:row r="28" ht="24" customHeight="1">
      <x:c r="A28" s="3"/>
      <x:c r="B28" s="17" t="str">
        <x:v>전체 기준집단</x:v>
      </x:c>
      <x:c r="C28" s="3" t="str">
        <x:v>4일 내 재학습</x:v>
      </x:c>
      <x:c r="D28" s="3" t="str">
        <x:v>습관 형성형</x:v>
      </x:c>
      <x:c r="E28" s="24" t="str">
        <x:v>최근 단발형</x:v>
      </x:c>
      <x:c r="F28" s="29" t="n">
        <x:v>14583</x:v>
      </x:c>
      <x:c r="G28" s="29" t="n">
        <x:v>15402</x:v>
      </x:c>
      <x:c r="H28" s="25" t="n">
        <x:v>0.5217033532195021</x:v>
      </x:c>
      <x:c r="I28" s="25" t="n">
        <x:v>0.3250227243215167</x:v>
      </x:c>
      <x:c r="J28" s="27" t="n">
        <x:f>(H28-I28)*100</x:f>
        <x:v>19.66806288979854</x:v>
      </x:c>
      <x:c r="K28" s="27" t="n">
        <x:v>18.567340589247436</x:v>
      </x:c>
      <x:c r="L28" s="27" t="n">
        <x:v>20.762059248661213</x:v>
      </x:c>
      <x:c r="M28" s="33" t="n">
        <x:v>2.0472630052794944e-258</x:v>
      </x:c>
      <x:c r="N28" s="24" t="str">
        <x:v>유의</x:v>
      </x:c>
      <x:c r="O28" s="33" t="n">
        <x:v>1.5164911150218759e-260</x:v>
      </x:c>
      <x:c r="P28" s="27" t="n">
        <x:v>-257.68882636134117</x:v>
      </x:c>
    </x:row>
    <x:row r="29" ht="24" customHeight="1">
      <x:c r="A29" s="3"/>
      <x:c r="B29" s="17" t="str">
        <x:v>전체 기준집단</x:v>
      </x:c>
      <x:c r="C29" s="3" t="str">
        <x:v>4일 내 재학습</x:v>
      </x:c>
      <x:c r="D29" s="3" t="str">
        <x:v>습관 형성형</x:v>
      </x:c>
      <x:c r="E29" s="24" t="str">
        <x:v>멈춤-꾸준형</x:v>
      </x:c>
      <x:c r="F29" s="29" t="n">
        <x:v>14583</x:v>
      </x:c>
      <x:c r="G29" s="29" t="n">
        <x:v>3627</x:v>
      </x:c>
      <x:c r="H29" s="25" t="n">
        <x:v>0.5217033532195021</x:v>
      </x:c>
      <x:c r="I29" s="25" t="n">
        <x:v>0.4571271022883926</x:v>
      </x:c>
      <x:c r="J29" s="27" t="n">
        <x:f>(H29-I29)*100</x:f>
        <x:v>6.457625093110952</x:v>
      </x:c>
      <x:c r="K29" s="27" t="n">
        <x:v>4.641481399039506</x:v>
      </x:c>
      <x:c r="L29" s="27" t="n">
        <x:v>8.265144035766195</x:v>
      </x:c>
      <x:c r="M29" s="33" t="n">
        <x:v>2.4548443363427106e-10</x:v>
      </x:c>
      <x:c r="N29" s="24" t="str">
        <x:v>유의</x:v>
      </x:c>
      <x:c r="O29" s="33" t="n">
        <x:v>3.362800460743434e-12</x:v>
      </x:c>
      <x:c r="P29" s="27" t="n">
        <x:v>-9.609976041630933</x:v>
      </x:c>
    </x:row>
    <x:row r="30" ht="24" customHeight="1">
      <x:c r="A30" s="3"/>
      <x:c r="B30" s="17" t="str">
        <x:v>전체 기준집단</x:v>
      </x:c>
      <x:c r="C30" s="3" t="str">
        <x:v>4일 내 재학습</x:v>
      </x:c>
      <x:c r="D30" s="3" t="str">
        <x:v>습관 형성형</x:v>
      </x:c>
      <x:c r="E30" s="24" t="str">
        <x:v>멈춤-몰입형</x:v>
      </x:c>
      <x:c r="F30" s="29" t="n">
        <x:v>14583</x:v>
      </x:c>
      <x:c r="G30" s="29" t="n">
        <x:v>9303</x:v>
      </x:c>
      <x:c r="H30" s="25" t="n">
        <x:v>0.5217033532195021</x:v>
      </x:c>
      <x:c r="I30" s="25" t="n">
        <x:v>0.26400085993765454</x:v>
      </x:c>
      <x:c r="J30" s="27" t="n">
        <x:f>(H30-I30)*100</x:f>
        <x:v>25.770249328184757</x:v>
      </x:c>
      <x:c r="K30" s="27" t="n">
        <x:v>24.554639975716537</x:v>
      </x:c>
      <x:c r="L30" s="27" t="n">
        <x:v>26.9706478342512</x:v>
      </x:c>
      <x:c r="M30" s="33" t="str">
        <x:v>&lt;1e-300</x:v>
      </x:c>
      <x:c r="N30" s="24" t="str">
        <x:v>유의</x:v>
      </x:c>
      <x:c r="O30" s="33" t="str">
        <x:v>&lt;1e-300</x:v>
      </x:c>
      <x:c r="P30" s="27" t="n">
        <x:v>-335.4944892796327</x:v>
      </x:c>
    </x:row>
    <x:row r="31" ht="24" customHeight="1">
      <x:c r="A31" s="3"/>
      <x:c r="B31" s="17" t="str">
        <x:v>전체 기준집단</x:v>
      </x:c>
      <x:c r="C31" s="3" t="str">
        <x:v>4일 내 재학습</x:v>
      </x:c>
      <x:c r="D31" s="3" t="str">
        <x:v>습관 형성형</x:v>
      </x:c>
      <x:c r="E31" s="24" t="str">
        <x:v>멈춤-저활동형</x:v>
      </x:c>
      <x:c r="F31" s="29" t="n">
        <x:v>14583</x:v>
      </x:c>
      <x:c r="G31" s="29" t="n">
        <x:v>30670</x:v>
      </x:c>
      <x:c r="H31" s="25" t="n">
        <x:v>0.5217033532195021</x:v>
      </x:c>
      <x:c r="I31" s="25" t="n">
        <x:v>0.17531790022823607</x:v>
      </x:c>
      <x:c r="J31" s="27" t="n">
        <x:f>(H31-I31)*100</x:f>
        <x:v>34.638545299126605</x:v>
      </x:c>
      <x:c r="K31" s="27" t="n">
        <x:v>33.72059889261178</x:v>
      </x:c>
      <x:c r="L31" s="27" t="n">
        <x:v>35.5516997247188</x:v>
      </x:c>
      <x:c r="M31" s="33" t="str">
        <x:v>&lt;1e-300</x:v>
      </x:c>
      <x:c r="N31" s="24" t="str">
        <x:v>유의</x:v>
      </x:c>
      <x:c r="O31" s="33" t="str">
        <x:v>&lt;1e-300</x:v>
      </x:c>
      <x:c r="P31" s="27" t="n">
        <x:v>-1258.3511894527333</x:v>
      </x:c>
    </x:row>
    <x:row r="32" ht="24" customHeight="1">
      <x:c r="A32" s="3"/>
      <x:c r="B32" s="17" t="str">
        <x:v>전체 기준집단</x:v>
      </x:c>
      <x:c r="C32" s="3" t="str">
        <x:v>4일 내 재학습</x:v>
      </x:c>
      <x:c r="D32" s="3" t="str">
        <x:v>최근 단발형</x:v>
      </x:c>
      <x:c r="E32" s="24" t="str">
        <x:v>멈춤-꾸준형</x:v>
      </x:c>
      <x:c r="F32" s="29" t="n">
        <x:v>15402</x:v>
      </x:c>
      <x:c r="G32" s="29" t="n">
        <x:v>3627</x:v>
      </x:c>
      <x:c r="H32" s="25" t="n">
        <x:v>0.3250227243215167</x:v>
      </x:c>
      <x:c r="I32" s="25" t="n">
        <x:v>0.4571271022883926</x:v>
      </x:c>
      <x:c r="J32" s="27" t="n">
        <x:f>(H32-I32)*100</x:f>
        <x:v>-13.210437796687591</x:v>
      </x:c>
      <x:c r="K32" s="27" t="n">
        <x:v>-14.99395419876307</x:v>
      </x:c>
      <x:c r="L32" s="27" t="n">
        <x:v>-11.431550752285936</x:v>
      </x:c>
      <x:c r="M32" s="33" t="n">
        <x:v>7.266751456283192e-49</x:v>
      </x:c>
      <x:c r="N32" s="24" t="str">
        <x:v>유의</x:v>
      </x:c>
      <x:c r="O32" s="33" t="n">
        <x:v>6.855425902153974e-51</x:v>
      </x:c>
      <x:c r="P32" s="27" t="n">
        <x:v>-48.13865969366812</x:v>
      </x:c>
    </x:row>
    <x:row r="33" ht="24" customHeight="1">
      <x:c r="A33" s="3"/>
      <x:c r="B33" s="17" t="str">
        <x:v>전체 기준집단</x:v>
      </x:c>
      <x:c r="C33" s="3" t="str">
        <x:v>4일 내 재학습</x:v>
      </x:c>
      <x:c r="D33" s="3" t="str">
        <x:v>최근 단발형</x:v>
      </x:c>
      <x:c r="E33" s="24" t="str">
        <x:v>멈춤-몰입형</x:v>
      </x:c>
      <x:c r="F33" s="29" t="n">
        <x:v>15402</x:v>
      </x:c>
      <x:c r="G33" s="29" t="n">
        <x:v>9303</x:v>
      </x:c>
      <x:c r="H33" s="25" t="n">
        <x:v>0.3250227243215167</x:v>
      </x:c>
      <x:c r="I33" s="25" t="n">
        <x:v>0.26400085993765454</x:v>
      </x:c>
      <x:c r="J33" s="27" t="n">
        <x:f>(H33-I33)*100</x:f>
        <x:v>6.102186438386214</x:v>
      </x:c>
      <x:c r="K33" s="27" t="n">
        <x:v>4.935885046478881</x:v>
      </x:c>
      <x:c r="L33" s="27" t="n">
        <x:v>7.259023056949557</x:v>
      </x:c>
      <x:c r="M33" s="33" t="n">
        <x:v>4.1260816695993657e-22</x:v>
      </x:c>
      <x:c r="N33" s="24" t="str">
        <x:v>유의</x:v>
      </x:c>
      <x:c r="O33" s="33" t="n">
        <x:v>4.436646956558457e-24</x:v>
      </x:c>
      <x:c r="P33" s="27" t="n">
        <x:v>-21.384462180069768</x:v>
      </x:c>
    </x:row>
    <x:row r="34" ht="24" customHeight="1">
      <x:c r="A34" s="3"/>
      <x:c r="B34" s="17" t="str">
        <x:v>전체 기준집단</x:v>
      </x:c>
      <x:c r="C34" s="3" t="str">
        <x:v>4일 내 재학습</x:v>
      </x:c>
      <x:c r="D34" s="3" t="str">
        <x:v>최근 단발형</x:v>
      </x:c>
      <x:c r="E34" s="24" t="str">
        <x:v>멈춤-저활동형</x:v>
      </x:c>
      <x:c r="F34" s="29" t="n">
        <x:v>15402</x:v>
      </x:c>
      <x:c r="G34" s="29" t="n">
        <x:v>30670</x:v>
      </x:c>
      <x:c r="H34" s="25" t="n">
        <x:v>0.3250227243215167</x:v>
      </x:c>
      <x:c r="I34" s="25" t="n">
        <x:v>0.17531790022823607</x:v>
      </x:c>
      <x:c r="J34" s="27" t="n">
        <x:f>(H34-I34)*100</x:f>
        <x:v>14.970482409328062</x:v>
      </x:c>
      <x:c r="K34" s="27" t="n">
        <x:v>14.11890831144212</x:v>
      </x:c>
      <x:c r="L34" s="27" t="n">
        <x:v>15.825564506942753</x:v>
      </x:c>
      <x:c r="M34" s="33" t="n">
        <x:v>4.496076923581972e-286</x:v>
      </x:c>
      <x:c r="N34" s="24" t="str">
        <x:v>유의</x:v>
      </x:c>
      <x:c r="O34" s="33" t="n">
        <x:v>3.305938914398481e-288</x:v>
      </x:c>
      <x:c r="P34" s="27" t="n">
        <x:v>-285.34716626701163</x:v>
      </x:c>
    </x:row>
    <x:row r="35" ht="24" customHeight="1">
      <x:c r="A35" s="3"/>
      <x:c r="B35" s="17" t="str">
        <x:v>전체 기준집단</x:v>
      </x:c>
      <x:c r="C35" s="3" t="str">
        <x:v>4일 내 재학습</x:v>
      </x:c>
      <x:c r="D35" s="3" t="str">
        <x:v>멈춤-꾸준형</x:v>
      </x:c>
      <x:c r="E35" s="24" t="str">
        <x:v>멈춤-몰입형</x:v>
      </x:c>
      <x:c r="F35" s="29" t="n">
        <x:v>3627</x:v>
      </x:c>
      <x:c r="G35" s="29" t="n">
        <x:v>9303</x:v>
      </x:c>
      <x:c r="H35" s="25" t="n">
        <x:v>0.4571271022883926</x:v>
      </x:c>
      <x:c r="I35" s="25" t="n">
        <x:v>0.26400085993765454</x:v>
      </x:c>
      <x:c r="J35" s="27" t="n">
        <x:f>(H35-I35)*100</x:f>
        <x:v>19.312624235073805</x:v>
      </x:c>
      <x:c r="K35" s="27" t="n">
        <x:v>17.460448316966204</x:v>
      </x:c>
      <x:c r="L35" s="27" t="n">
        <x:v>21.16331580760393</x:v>
      </x:c>
      <x:c r="M35" s="33" t="n">
        <x:v>1.6953709437190905e-97</x:v>
      </x:c>
      <x:c r="N35" s="24" t="str">
        <x:v>유의</x:v>
      </x:c>
      <x:c r="O35" s="33" t="n">
        <x:v>1.4128091197659204e-99</x:v>
      </x:c>
      <x:c r="P35" s="27" t="n">
        <x:v>-96.77073526431342</x:v>
      </x:c>
    </x:row>
    <x:row r="36" ht="24" customHeight="1">
      <x:c r="A36" s="3"/>
      <x:c r="B36" s="17" t="str">
        <x:v>전체 기준집단</x:v>
      </x:c>
      <x:c r="C36" s="3" t="str">
        <x:v>4일 내 재학습</x:v>
      </x:c>
      <x:c r="D36" s="3" t="str">
        <x:v>멈춤-꾸준형</x:v>
      </x:c>
      <x:c r="E36" s="24" t="str">
        <x:v>멈춤-저활동형</x:v>
      </x:c>
      <x:c r="F36" s="29" t="n">
        <x:v>3627</x:v>
      </x:c>
      <x:c r="G36" s="29" t="n">
        <x:v>30670</x:v>
      </x:c>
      <x:c r="H36" s="25" t="n">
        <x:v>0.4571271022883926</x:v>
      </x:c>
      <x:c r="I36" s="25" t="n">
        <x:v>0.17531790022823607</x:v>
      </x:c>
      <x:c r="J36" s="27" t="n">
        <x:f>(H36-I36)*100</x:f>
        <x:v>28.180920206015653</x:v>
      </x:c>
      <x:c r="K36" s="27" t="n">
        <x:v>26.50895276044651</x:v>
      </x:c>
      <x:c r="L36" s="27" t="n">
        <x:v>29.85959638927617</x:v>
      </x:c>
      <x:c r="M36" s="33" t="str">
        <x:v>&lt;1e-300</x:v>
      </x:c>
      <x:c r="N36" s="24" t="str">
        <x:v>유의</x:v>
      </x:c>
      <x:c r="O36" s="33" t="str">
        <x:v>&lt;1e-300</x:v>
      </x:c>
      <x:c r="P36" s="27" t="n">
        <x:v>-342.60689929320665</x:v>
      </x:c>
    </x:row>
    <x:row r="37" ht="24" customHeight="1">
      <x:c r="A37" s="3"/>
      <x:c r="B37" s="17" t="str">
        <x:v>전체 기준집단</x:v>
      </x:c>
      <x:c r="C37" s="3" t="str">
        <x:v>4일 내 재학습</x:v>
      </x:c>
      <x:c r="D37" s="3" t="str">
        <x:v>멈춤-몰입형</x:v>
      </x:c>
      <x:c r="E37" s="24" t="str">
        <x:v>멈춤-저활동형</x:v>
      </x:c>
      <x:c r="F37" s="29" t="n">
        <x:v>9303</x:v>
      </x:c>
      <x:c r="G37" s="29" t="n">
        <x:v>30670</x:v>
      </x:c>
      <x:c r="H37" s="25" t="n">
        <x:v>0.26400085993765454</x:v>
      </x:c>
      <x:c r="I37" s="25" t="n">
        <x:v>0.17531790022823607</x:v>
      </x:c>
      <x:c r="J37" s="27" t="n">
        <x:f>(H37-I37)*100</x:f>
        <x:v>8.868295970941848</x:v>
      </x:c>
      <x:c r="K37" s="27" t="n">
        <x:v>7.883762079015306</x:v>
      </x:c>
      <x:c r="L37" s="27" t="n">
        <x:v>9.86693600045139</x:v>
      </x:c>
      <x:c r="M37" s="33" t="n">
        <x:v>2.0930319799328193e-77</x:v>
      </x:c>
      <x:c r="N37" s="24" t="str">
        <x:v>유의</x:v>
      </x:c>
      <x:c r="O37" s="33" t="n">
        <x:v>1.804337913735207e-79</x:v>
      </x:c>
      <x:c r="P37" s="27" t="n">
        <x:v>-76.67922413592206</x:v>
      </x:c>
    </x:row>
    <x:row r="38" ht="24" customHeight="1">
      <x:c r="A38" s="3"/>
      <x:c r="B38" s="17" t="d">
        <x:v>2013-03-08T00:00:00.000Z</x:v>
      </x:c>
      <x:c r="C38" s="3" t="str">
        <x:v>D+1 학습</x:v>
      </x:c>
      <x:c r="D38" s="3" t="str">
        <x:v>꾸준형</x:v>
      </x:c>
      <x:c r="E38" s="24" t="str">
        <x:v>습관 형성형</x:v>
      </x:c>
      <x:c r="F38" s="29" t="n">
        <x:v>4602</x:v>
      </x:c>
      <x:c r="G38" s="29" t="n">
        <x:v>4106</x:v>
      </x:c>
      <x:c r="H38" s="25" t="n">
        <x:v>0.5471534115601913</x:v>
      </x:c>
      <x:c r="I38" s="25" t="n">
        <x:v>0.3326838772528008</x:v>
      </x:c>
      <x:c r="J38" s="27" t="n">
        <x:f>(H38-I38)*100</x:f>
        <x:v>21.446953430739047</x:v>
      </x:c>
      <x:c r="K38" s="27" t="n">
        <x:v>19.397923976329295</x:v>
      </x:c>
      <x:c r="L38" s="27" t="n">
        <x:v>23.46828696004121</x:v>
      </x:c>
      <x:c r="M38" s="33" t="n">
        <x:v>8.969045209165191e-88</x:v>
      </x:c>
      <x:c r="N38" s="24" t="str">
        <x:v>유의</x:v>
      </x:c>
      <x:c r="O38" s="33" t="n">
        <x:v>7.6008857704789116e-90</x:v>
      </x:c>
      <x:c r="P38" s="27" t="n">
        <x:v>-87.0472537868847</x:v>
      </x:c>
    </x:row>
    <x:row r="39" ht="24" customHeight="1">
      <x:c r="A39" s="3"/>
      <x:c r="B39" s="17" t="d">
        <x:v>2013-03-08T00:00:00.000Z</x:v>
      </x:c>
      <x:c r="C39" s="3" t="str">
        <x:v>D+1 학습</x:v>
      </x:c>
      <x:c r="D39" s="3" t="str">
        <x:v>꾸준형</x:v>
      </x:c>
      <x:c r="E39" s="24" t="str">
        <x:v>최근 단발형</x:v>
      </x:c>
      <x:c r="F39" s="29" t="n">
        <x:v>4602</x:v>
      </x:c>
      <x:c r="G39" s="29" t="n">
        <x:v>2636</x:v>
      </x:c>
      <x:c r="H39" s="25" t="n">
        <x:v>0.5471534115601913</x:v>
      </x:c>
      <x:c r="I39" s="25" t="n">
        <x:v>0.26858877086494687</x:v>
      </x:c>
      <x:c r="J39" s="27" t="n">
        <x:f>(H39-I39)*100</x:f>
        <x:v>27.85646406952444</x:v>
      </x:c>
      <x:c r="K39" s="27" t="n">
        <x:v>25.60863119058596</x:v>
      </x:c>
      <x:c r="L39" s="27" t="n">
        <x:v>30.047890363814123</x:v>
      </x:c>
      <x:c r="M39" s="33" t="n">
        <x:v>2.0816746619242612e-114</x:v>
      </x:c>
      <x:c r="N39" s="24" t="str">
        <x:v>유의</x:v>
      </x:c>
      <x:c r="O39" s="33" t="n">
        <x:v>1.6924184243286339e-116</x:v>
      </x:c>
      <x:c r="P39" s="27" t="n">
        <x:v>-113.68158714397607</x:v>
      </x:c>
    </x:row>
    <x:row r="40" ht="24" customHeight="1">
      <x:c r="A40" s="3"/>
      <x:c r="B40" s="17" t="d">
        <x:v>2013-03-08T00:00:00.000Z</x:v>
      </x:c>
      <x:c r="C40" s="3" t="str">
        <x:v>D+1 학습</x:v>
      </x:c>
      <x:c r="D40" s="3" t="str">
        <x:v>꾸준형</x:v>
      </x:c>
      <x:c r="E40" s="24" t="str">
        <x:v>멈춤-꾸준형</x:v>
      </x:c>
      <x:c r="F40" s="29" t="n">
        <x:v>4602</x:v>
      </x:c>
      <x:c r="G40" s="29" t="n">
        <x:v>732</x:v>
      </x:c>
      <x:c r="H40" s="25" t="n">
        <x:v>0.5471534115601913</x:v>
      </x:c>
      <x:c r="I40" s="25" t="n">
        <x:v>0.3975409836065574</x:v>
      </x:c>
      <x:c r="J40" s="27" t="n">
        <x:f>(H40-I40)*100</x:f>
        <x:v>14.961242795363388</x:v>
      </x:c>
      <x:c r="K40" s="27" t="n">
        <x:v>11.092762967303967</x:v>
      </x:c>
      <x:c r="L40" s="27" t="n">
        <x:v>18.727659350249485</x:v>
      </x:c>
      <x:c r="M40" s="33" t="n">
        <x:v>4.098255712988702e-12</x:v>
      </x:c>
      <x:c r="N40" s="24" t="str">
        <x:v>유의</x:v>
      </x:c>
      <x:c r="O40" s="33" t="n">
        <x:v>5.0595749543070334e-14</x:v>
      </x:c>
      <x:c r="P40" s="27" t="n">
        <x:v>-11.387400947038968</x:v>
      </x:c>
    </x:row>
    <x:row r="41" ht="24" customHeight="1">
      <x:c r="A41" s="3"/>
      <x:c r="B41" s="17" t="d">
        <x:v>2013-03-08T00:00:00.000Z</x:v>
      </x:c>
      <x:c r="C41" s="3" t="str">
        <x:v>D+1 학습</x:v>
      </x:c>
      <x:c r="D41" s="3" t="str">
        <x:v>꾸준형</x:v>
      </x:c>
      <x:c r="E41" s="24" t="str">
        <x:v>멈춤-몰입형</x:v>
      </x:c>
      <x:c r="F41" s="29" t="n">
        <x:v>4602</x:v>
      </x:c>
      <x:c r="G41" s="29" t="n">
        <x:v>924</x:v>
      </x:c>
      <x:c r="H41" s="25" t="n">
        <x:v>0.5471534115601913</x:v>
      </x:c>
      <x:c r="I41" s="25" t="n">
        <x:v>0.2597402597402597</x:v>
      </x:c>
      <x:c r="J41" s="27" t="n">
        <x:f>(H41-I41)*100</x:f>
        <x:v>28.741315181993155</x:v>
      </x:c>
      <x:c r="K41" s="27" t="n">
        <x:v>25.482488972785845</x:v>
      </x:c>
      <x:c r="L41" s="27" t="n">
        <x:v>31.819302709914705</x:v>
      </x:c>
      <x:c r="M41" s="33" t="n">
        <x:v>3.392498905255697e-55</x:v>
      </x:c>
      <x:c r="N41" s="24" t="str">
        <x:v>유의</x:v>
      </x:c>
      <x:c r="O41" s="33" t="n">
        <x:v>3.056305320050181e-57</x:v>
      </x:c>
      <x:c r="P41" s="27" t="n">
        <x:v>-54.46948028381309</x:v>
      </x:c>
    </x:row>
    <x:row r="42" ht="24" customHeight="1">
      <x:c r="A42" s="3"/>
      <x:c r="B42" s="17" t="d">
        <x:v>2013-03-08T00:00:00.000Z</x:v>
      </x:c>
      <x:c r="C42" s="3" t="str">
        <x:v>D+1 학습</x:v>
      </x:c>
      <x:c r="D42" s="3" t="str">
        <x:v>꾸준형</x:v>
      </x:c>
      <x:c r="E42" s="24" t="str">
        <x:v>멈춤-저활동형</x:v>
      </x:c>
      <x:c r="F42" s="29" t="n">
        <x:v>4602</x:v>
      </x:c>
      <x:c r="G42" s="29" t="n">
        <x:v>1846</x:v>
      </x:c>
      <x:c r="H42" s="25" t="n">
        <x:v>0.5471534115601913</x:v>
      </x:c>
      <x:c r="I42" s="25" t="n">
        <x:v>0.19068255687973998</x:v>
      </x:c>
      <x:c r="J42" s="27" t="n">
        <x:f>(H42-I42)*100</x:f>
        <x:v>35.64708546804513</x:v>
      </x:c>
      <x:c r="K42" s="27" t="n">
        <x:v>33.29740316030547</x:v>
      </x:c>
      <x:c r="L42" s="27" t="n">
        <x:v>37.89166441080649</x:v>
      </x:c>
      <x:c r="M42" s="33" t="n">
        <x:v>2.4991248666046366e-147</x:v>
      </x:c>
      <x:c r="N42" s="24" t="str">
        <x:v>유의</x:v>
      </x:c>
      <x:c r="O42" s="33" t="n">
        <x:v>1.9678148555942054e-149</x:v>
      </x:c>
      <x:c r="P42" s="27" t="n">
        <x:v>-146.60221204418463</x:v>
      </x:c>
    </x:row>
    <x:row r="43" ht="24" customHeight="1">
      <x:c r="A43" s="3"/>
      <x:c r="B43" s="17" t="d">
        <x:v>2013-03-08T00:00:00.000Z</x:v>
      </x:c>
      <x:c r="C43" s="3" t="str">
        <x:v>D+1 학습</x:v>
      </x:c>
      <x:c r="D43" s="3" t="str">
        <x:v>습관 형성형</x:v>
      </x:c>
      <x:c r="E43" s="24" t="str">
        <x:v>최근 단발형</x:v>
      </x:c>
      <x:c r="F43" s="29" t="n">
        <x:v>4106</x:v>
      </x:c>
      <x:c r="G43" s="29" t="n">
        <x:v>2636</x:v>
      </x:c>
      <x:c r="H43" s="25" t="n">
        <x:v>0.3326838772528008</x:v>
      </x:c>
      <x:c r="I43" s="25" t="n">
        <x:v>0.26858877086494687</x:v>
      </x:c>
      <x:c r="J43" s="27" t="n">
        <x:f>(H43-I43)*100</x:f>
        <x:v>6.409510638785393</x:v>
      </x:c>
      <x:c r="K43" s="27" t="n">
        <x:v>4.172243147912411</x:v>
      </x:c>
      <x:c r="L43" s="27" t="n">
        <x:v>8.615795943486946</x:v>
      </x:c>
      <x:c r="M43" s="33" t="n">
        <x:v>0.000001603076216213844</x:v>
      </x:c>
      <x:c r="N43" s="24" t="str">
        <x:v>유의</x:v>
      </x:c>
      <x:c r="O43" s="33" t="n">
        <x:v>2.6279937970718774e-8</x:v>
      </x:c>
      <x:c r="P43" s="27" t="n">
        <x:v>-5.795045829177835</x:v>
      </x:c>
    </x:row>
    <x:row r="44" ht="24" customHeight="1">
      <x:c r="A44" s="3"/>
      <x:c r="B44" s="17" t="d">
        <x:v>2013-03-08T00:00:00.000Z</x:v>
      </x:c>
      <x:c r="C44" s="3" t="str">
        <x:v>D+1 학습</x:v>
      </x:c>
      <x:c r="D44" s="3" t="str">
        <x:v>습관 형성형</x:v>
      </x:c>
      <x:c r="E44" s="24" t="str">
        <x:v>멈춤-꾸준형</x:v>
      </x:c>
      <x:c r="F44" s="29" t="n">
        <x:v>4106</x:v>
      </x:c>
      <x:c r="G44" s="29" t="n">
        <x:v>732</x:v>
      </x:c>
      <x:c r="H44" s="25" t="n">
        <x:v>0.3326838772528008</x:v>
      </x:c>
      <x:c r="I44" s="25" t="n">
        <x:v>0.3975409836065574</x:v>
      </x:c>
      <x:c r="J44" s="27" t="n">
        <x:f>(H44-I44)*100</x:f>
        <x:v>-6.485710635375658</x:v>
      </x:c>
      <x:c r="K44" s="27" t="n">
        <x:v>-10.348060872495909</x:v>
      </x:c>
      <x:c r="L44" s="27" t="n">
        <x:v>-2.710629271039539</x:v>
      </x:c>
      <x:c r="M44" s="33" t="n">
        <x:v>0.024343753505576396</x:v>
      </x:c>
      <x:c r="N44" s="24" t="str">
        <x:v>유의</x:v>
      </x:c>
      <x:c r="O44" s="33" t="n">
        <x:v>0.0006579392839344973</x:v>
      </x:c>
      <x:c r="P44" s="27" t="n">
        <x:v>-1.6136124581075775</x:v>
      </x:c>
    </x:row>
    <x:row r="45" ht="24" customHeight="1">
      <x:c r="A45" s="3"/>
      <x:c r="B45" s="17" t="d">
        <x:v>2013-03-08T00:00:00.000Z</x:v>
      </x:c>
      <x:c r="C45" s="3" t="str">
        <x:v>D+1 학습</x:v>
      </x:c>
      <x:c r="D45" s="3" t="str">
        <x:v>습관 형성형</x:v>
      </x:c>
      <x:c r="E45" s="24" t="str">
        <x:v>멈춤-몰입형</x:v>
      </x:c>
      <x:c r="F45" s="29" t="n">
        <x:v>4106</x:v>
      </x:c>
      <x:c r="G45" s="29" t="n">
        <x:v>924</x:v>
      </x:c>
      <x:c r="H45" s="25" t="n">
        <x:v>0.3326838772528008</x:v>
      </x:c>
      <x:c r="I45" s="25" t="n">
        <x:v>0.2597402597402597</x:v>
      </x:c>
      <x:c r="J45" s="27" t="n">
        <x:f>(H45-I45)*100</x:f>
        <x:v>7.294361751254108</x:v>
      </x:c>
      <x:c r="K45" s="27" t="n">
        <x:v>4.042814206484582</x:v>
      </x:c>
      <x:c r="L45" s="27" t="n">
        <x:v>10.382946032843073</x:v>
      </x:c>
      <x:c r="M45" s="33" t="n">
        <x:v>0.0008132620756556476</x:v>
      </x:c>
      <x:c r="N45" s="24" t="str">
        <x:v>유의</x:v>
      </x:c>
      <x:c r="O45" s="33" t="n">
        <x:v>0.00001730344841820527</x:v>
      </x:c>
      <x:c r="P45" s="27" t="n">
        <x:v>-3.089769479412014</x:v>
      </x:c>
    </x:row>
    <x:row r="46" ht="24" customHeight="1">
      <x:c r="A46" s="3"/>
      <x:c r="B46" s="17" t="d">
        <x:v>2013-03-08T00:00:00.000Z</x:v>
      </x:c>
      <x:c r="C46" s="3" t="str">
        <x:v>D+1 학습</x:v>
      </x:c>
      <x:c r="D46" s="3" t="str">
        <x:v>습관 형성형</x:v>
      </x:c>
      <x:c r="E46" s="24" t="str">
        <x:v>멈춤-저활동형</x:v>
      </x:c>
      <x:c r="F46" s="29" t="n">
        <x:v>4106</x:v>
      </x:c>
      <x:c r="G46" s="29" t="n">
        <x:v>1846</x:v>
      </x:c>
      <x:c r="H46" s="25" t="n">
        <x:v>0.3326838772528008</x:v>
      </x:c>
      <x:c r="I46" s="25" t="n">
        <x:v>0.19068255687973998</x:v>
      </x:c>
      <x:c r="J46" s="27" t="n">
        <x:f>(H46-I46)*100</x:f>
        <x:v>14.200132037306082</x:v>
      </x:c>
      <x:c r="K46" s="27" t="n">
        <x:v>11.860555126541023</x:v>
      </x:c>
      <x:c r="L46" s="27" t="n">
        <x:v>16.45922040935476</x:v>
      </x:c>
      <x:c r="M46" s="33" t="n">
        <x:v>4.7856556071380694e-27</x:v>
      </x:c>
      <x:c r="N46" s="24" t="str">
        <x:v>유의</x:v>
      </x:c>
      <x:c r="O46" s="33" t="n">
        <x:v>4.933665574369144e-29</x:v>
      </x:c>
      <x:c r="P46" s="27" t="n">
        <x:v>-26.320058557979397</x:v>
      </x:c>
    </x:row>
    <x:row r="47" ht="24" customHeight="1">
      <x:c r="A47" s="3"/>
      <x:c r="B47" s="17" t="d">
        <x:v>2013-03-08T00:00:00.000Z</x:v>
      </x:c>
      <x:c r="C47" s="3" t="str">
        <x:v>D+1 학습</x:v>
      </x:c>
      <x:c r="D47" s="3" t="str">
        <x:v>최근 단발형</x:v>
      </x:c>
      <x:c r="E47" s="24" t="str">
        <x:v>멈춤-꾸준형</x:v>
      </x:c>
      <x:c r="F47" s="29" t="n">
        <x:v>2636</x:v>
      </x:c>
      <x:c r="G47" s="29" t="n">
        <x:v>732</x:v>
      </x:c>
      <x:c r="H47" s="25" t="n">
        <x:v>0.26858877086494687</x:v>
      </x:c>
      <x:c r="I47" s="25" t="n">
        <x:v>0.3975409836065574</x:v>
      </x:c>
      <x:c r="J47" s="27" t="n">
        <x:f>(H47-I47)*100</x:f>
        <x:v>-12.89522127416105</x:v>
      </x:c>
      <x:c r="K47" s="27" t="n">
        <x:v>-16.849245720317896</x:v>
      </x:c>
      <x:c r="L47" s="27" t="n">
        <x:v>-9.00864562791975</x:v>
      </x:c>
      <x:c r="M47" s="33" t="n">
        <x:v>1.011725041283937e-9</x:v>
      </x:c>
      <x:c r="N47" s="24" t="str">
        <x:v>유의</x:v>
      </x:c>
      <x:c r="O47" s="33" t="n">
        <x:v>1.4051736684499112e-11</x:v>
      </x:c>
      <x:c r="P47" s="27" t="n">
        <x:v>-8.99493750061701</x:v>
      </x:c>
    </x:row>
    <x:row r="48" ht="24" customHeight="1">
      <x:c r="A48" s="3"/>
      <x:c r="B48" s="17" t="d">
        <x:v>2013-03-08T00:00:00.000Z</x:v>
      </x:c>
      <x:c r="C48" s="3" t="str">
        <x:v>D+1 학습</x:v>
      </x:c>
      <x:c r="D48" s="3" t="str">
        <x:v>최근 단발형</x:v>
      </x:c>
      <x:c r="E48" s="24" t="str">
        <x:v>멈춤-몰입형</x:v>
      </x:c>
      <x:c r="F48" s="29" t="n">
        <x:v>2636</x:v>
      </x:c>
      <x:c r="G48" s="29" t="n">
        <x:v>924</x:v>
      </x:c>
      <x:c r="H48" s="25" t="n">
        <x:v>0.26858877086494687</x:v>
      </x:c>
      <x:c r="I48" s="25" t="n">
        <x:v>0.2597402597402597</x:v>
      </x:c>
      <x:c r="J48" s="27" t="n">
        <x:f>(H48-I48)*100</x:f>
        <x:v>0.8848511124687153</x:v>
      </x:c>
      <x:c r="K48" s="27" t="n">
        <x:v>-2.475077666913344</x:v>
      </x:c>
      <x:c r="L48" s="27" t="n">
        <x:v>4.108759270446631</x:v>
      </x:c>
      <x:c r="M48" s="33" t="n">
        <x:v>1</x:v>
      </x:c>
      <x:c r="N48" s="24" t="str">
        <x:v>유의하지 않음</x:v>
      </x:c>
      <x:c r="O48" s="33" t="n">
        <x:v>0.600545461908075</x:v>
      </x:c>
      <x:c r="P48" s="27" t="n">
        <x:v>0</x:v>
      </x:c>
    </x:row>
    <x:row r="49" ht="24" customHeight="1">
      <x:c r="A49" s="3"/>
      <x:c r="B49" s="17" t="d">
        <x:v>2013-03-08T00:00:00.000Z</x:v>
      </x:c>
      <x:c r="C49" s="3" t="str">
        <x:v>D+1 학습</x:v>
      </x:c>
      <x:c r="D49" s="3" t="str">
        <x:v>최근 단발형</x:v>
      </x:c>
      <x:c r="E49" s="24" t="str">
        <x:v>멈춤-저활동형</x:v>
      </x:c>
      <x:c r="F49" s="29" t="n">
        <x:v>2636</x:v>
      </x:c>
      <x:c r="G49" s="29" t="n">
        <x:v>1846</x:v>
      </x:c>
      <x:c r="H49" s="25" t="n">
        <x:v>0.26858877086494687</x:v>
      </x:c>
      <x:c r="I49" s="25" t="n">
        <x:v>0.19068255687973998</x:v>
      </x:c>
      <x:c r="J49" s="27" t="n">
        <x:f>(H49-I49)*100</x:f>
        <x:v>7.790621398520689</x:v>
      </x:c>
      <x:c r="K49" s="27" t="n">
        <x:v>5.3026141461180645</x:v>
      </x:c>
      <x:c r="L49" s="27" t="n">
        <x:v>10.231463716107731</x:v>
      </x:c>
      <x:c r="M49" s="33" t="n">
        <x:v>1.0113218688178088e-7</x:v>
      </x:c>
      <x:c r="N49" s="24" t="str">
        <x:v>유의</x:v>
      </x:c>
      <x:c r="O49" s="33" t="n">
        <x:v>1.5323058618451629e-9</x:v>
      </x:c>
      <x:c r="P49" s="27" t="n">
        <x:v>-6.9951106014766475</x:v>
      </x:c>
    </x:row>
    <x:row r="50" ht="24" customHeight="1">
      <x:c r="A50" s="3"/>
      <x:c r="B50" s="17" t="d">
        <x:v>2013-03-08T00:00:00.000Z</x:v>
      </x:c>
      <x:c r="C50" s="3" t="str">
        <x:v>D+1 학습</x:v>
      </x:c>
      <x:c r="D50" s="3" t="str">
        <x:v>멈춤-꾸준형</x:v>
      </x:c>
      <x:c r="E50" s="24" t="str">
        <x:v>멈춤-몰입형</x:v>
      </x:c>
      <x:c r="F50" s="29" t="n">
        <x:v>732</x:v>
      </x:c>
      <x:c r="G50" s="29" t="n">
        <x:v>924</x:v>
      </x:c>
      <x:c r="H50" s="25" t="n">
        <x:v>0.3975409836065574</x:v>
      </x:c>
      <x:c r="I50" s="25" t="n">
        <x:v>0.2597402597402597</x:v>
      </x:c>
      <x:c r="J50" s="27" t="n">
        <x:f>(H50-I50)*100</x:f>
        <x:v>13.780072386629765</x:v>
      </x:c>
      <x:c r="K50" s="27" t="n">
        <x:v>9.233352045093943</x:v>
      </x:c>
      <x:c r="L50" s="27" t="n">
        <x:v>18.28628668907282</x:v>
      </x:c>
      <x:c r="M50" s="33" t="n">
        <x:v>1.5716023564208985e-7</x:v>
      </x:c>
      <x:c r="N50" s="24" t="str">
        <x:v>유의</x:v>
      </x:c>
      <x:c r="O50" s="33" t="n">
        <x:v>2.417849779109078e-9</x:v>
      </x:c>
      <x:c r="P50" s="27" t="n">
        <x:v>-6.80365732868956</x:v>
      </x:c>
    </x:row>
    <x:row r="51" ht="24" customHeight="1">
      <x:c r="A51" s="3"/>
      <x:c r="B51" s="17" t="d">
        <x:v>2013-03-08T00:00:00.000Z</x:v>
      </x:c>
      <x:c r="C51" s="3" t="str">
        <x:v>D+1 학습</x:v>
      </x:c>
      <x:c r="D51" s="3" t="str">
        <x:v>멈춤-꾸준형</x:v>
      </x:c>
      <x:c r="E51" s="24" t="str">
        <x:v>멈춤-저활동형</x:v>
      </x:c>
      <x:c r="F51" s="29" t="n">
        <x:v>732</x:v>
      </x:c>
      <x:c r="G51" s="29" t="n">
        <x:v>1846</x:v>
      </x:c>
      <x:c r="H51" s="25" t="n">
        <x:v>0.3975409836065574</x:v>
      </x:c>
      <x:c r="I51" s="25" t="n">
        <x:v>0.19068255687973998</x:v>
      </x:c>
      <x:c r="J51" s="27" t="n">
        <x:f>(H51-I51)*100</x:f>
        <x:v>20.68584267268174</x:v>
      </x:c>
      <x:c r="K51" s="27" t="n">
        <x:v>16.7394868157393</x:v>
      </x:c>
      <x:c r="L51" s="27" t="n">
        <x:v>24.6695714219554</x:v>
      </x:c>
      <x:c r="M51" s="33" t="n">
        <x:v>6.625707165654603e-26</x:v>
      </x:c>
      <x:c r="N51" s="24" t="str">
        <x:v>유의</x:v>
      </x:c>
      <x:c r="O51" s="33" t="n">
        <x:v>6.974428595425917e-28</x:v>
      </x:c>
      <x:c r="P51" s="27" t="n">
        <x:v>-25.178767762409787</x:v>
      </x:c>
    </x:row>
    <x:row r="52" ht="24" customHeight="1">
      <x:c r="A52" s="3"/>
      <x:c r="B52" s="17" t="d">
        <x:v>2013-03-08T00:00:00.000Z</x:v>
      </x:c>
      <x:c r="C52" s="3" t="str">
        <x:v>D+1 학습</x:v>
      </x:c>
      <x:c r="D52" s="3" t="str">
        <x:v>멈춤-몰입형</x:v>
      </x:c>
      <x:c r="E52" s="24" t="str">
        <x:v>멈춤-저활동형</x:v>
      </x:c>
      <x:c r="F52" s="29" t="n">
        <x:v>924</x:v>
      </x:c>
      <x:c r="G52" s="29" t="n">
        <x:v>1846</x:v>
      </x:c>
      <x:c r="H52" s="25" t="n">
        <x:v>0.2597402597402597</x:v>
      </x:c>
      <x:c r="I52" s="25" t="n">
        <x:v>0.19068255687973998</x:v>
      </x:c>
      <x:c r="J52" s="27" t="n">
        <x:f>(H52-I52)*100</x:f>
        <x:v>6.905770286051974</x:v>
      </x:c>
      <x:c r="K52" s="27" t="n">
        <x:v>3.6100400017683145</x:v>
      </x:c>
      <x:c r="L52" s="27" t="n">
        <x:v>10.300605603045028</x:v>
      </x:c>
      <x:c r="M52" s="33" t="n">
        <x:v>0.001280590854558668</x:v>
      </x:c>
      <x:c r="N52" s="24" t="str">
        <x:v>유의</x:v>
      </x:c>
      <x:c r="O52" s="33" t="n">
        <x:v>0.000029104337603606083</x:v>
      </x:c>
      <x:c r="P52" s="27" t="n">
        <x:v>-2.8925896040493235</x:v>
      </x:c>
    </x:row>
    <x:row r="53" ht="24" customHeight="1">
      <x:c r="A53" s="3"/>
      <x:c r="B53" s="17" t="d">
        <x:v>2013-03-08T00:00:00.000Z</x:v>
      </x:c>
      <x:c r="C53" s="3" t="str">
        <x:v>D+2 학습</x:v>
      </x:c>
      <x:c r="D53" s="3" t="str">
        <x:v>꾸준형</x:v>
      </x:c>
      <x:c r="E53" s="24" t="str">
        <x:v>습관 형성형</x:v>
      </x:c>
      <x:c r="F53" s="29" t="n">
        <x:v>4602</x:v>
      </x:c>
      <x:c r="G53" s="29" t="n">
        <x:v>4106</x:v>
      </x:c>
      <x:c r="H53" s="25" t="n">
        <x:v>0.5141242937853108</x:v>
      </x:c>
      <x:c r="I53" s="25" t="n">
        <x:v>0.2905504140282513</x:v>
      </x:c>
      <x:c r="J53" s="27" t="n">
        <x:f>(H53-I53)*100</x:f>
        <x:v>22.357387975705944</x:v>
      </x:c>
      <x:c r="K53" s="27" t="n">
        <x:v>20.340295546531223</x:v>
      </x:c>
      <x:c r="L53" s="27" t="n">
        <x:v>24.345641614156914</x:v>
      </x:c>
      <x:c r="M53" s="33" t="n">
        <x:v>1.574062419029378e-97</x:v>
      </x:c>
      <x:c r="N53" s="24" t="str">
        <x:v>유의</x:v>
      </x:c>
      <x:c r="O53" s="33" t="n">
        <x:v>1.3008780322556979e-99</x:v>
      </x:c>
      <x:c r="P53" s="27" t="n">
        <x:v>-96.80297804980253</x:v>
      </x:c>
    </x:row>
    <x:row r="54" ht="24" customHeight="1">
      <x:c r="A54" s="3"/>
      <x:c r="B54" s="17" t="d">
        <x:v>2013-03-08T00:00:00.000Z</x:v>
      </x:c>
      <x:c r="C54" s="3" t="str">
        <x:v>D+2 학습</x:v>
      </x:c>
      <x:c r="D54" s="3" t="str">
        <x:v>꾸준형</x:v>
      </x:c>
      <x:c r="E54" s="24" t="str">
        <x:v>최근 단발형</x:v>
      </x:c>
      <x:c r="F54" s="29" t="n">
        <x:v>4602</x:v>
      </x:c>
      <x:c r="G54" s="29" t="n">
        <x:v>2636</x:v>
      </x:c>
      <x:c r="H54" s="25" t="n">
        <x:v>0.5141242937853108</x:v>
      </x:c>
      <x:c r="I54" s="25" t="n">
        <x:v>0.22230652503793627</x:v>
      </x:c>
      <x:c r="J54" s="27" t="n">
        <x:f>(H54-I54)*100</x:f>
        <x:v>29.18177687473745</x:v>
      </x:c>
      <x:c r="K54" s="27" t="n">
        <x:v>27.00596549038646</x:v>
      </x:c>
      <x:c r="L54" s="27" t="n">
        <x:v>31.296224999677513</x:v>
      </x:c>
      <x:c r="M54" s="33" t="n">
        <x:v>1.9266296259412268e-128</x:v>
      </x:c>
      <x:c r="N54" s="24" t="str">
        <x:v>유의</x:v>
      </x:c>
      <x:c r="O54" s="33" t="n">
        <x:v>1.5413037007529468e-130</x:v>
      </x:c>
      <x:c r="P54" s="27" t="n">
        <x:v>-127.71520176581676</x:v>
      </x:c>
    </x:row>
    <x:row r="55" ht="24" customHeight="1">
      <x:c r="A55" s="3"/>
      <x:c r="B55" s="17" t="d">
        <x:v>2013-03-08T00:00:00.000Z</x:v>
      </x:c>
      <x:c r="C55" s="3" t="str">
        <x:v>D+2 학습</x:v>
      </x:c>
      <x:c r="D55" s="3" t="str">
        <x:v>꾸준형</x:v>
      </x:c>
      <x:c r="E55" s="24" t="str">
        <x:v>멈춤-꾸준형</x:v>
      </x:c>
      <x:c r="F55" s="29" t="n">
        <x:v>4602</x:v>
      </x:c>
      <x:c r="G55" s="29" t="n">
        <x:v>732</x:v>
      </x:c>
      <x:c r="H55" s="25" t="n">
        <x:v>0.5141242937853108</x:v>
      </x:c>
      <x:c r="I55" s="25" t="n">
        <x:v>0.35655737704918034</x:v>
      </x:c>
      <x:c r="J55" s="27" t="n">
        <x:f>(H55-I55)*100</x:f>
        <x:v>15.756691673613044</x:v>
      </x:c>
      <x:c r="K55" s="27" t="n">
        <x:v>11.936537032952856</x:v>
      </x:c>
      <x:c r="L55" s="27" t="n">
        <x:v>19.437710916978112</x:v>
      </x:c>
      <x:c r="M55" s="33" t="n">
        <x:v>1.9889402030389523e-13</x:v>
      </x:c>
      <x:c r="N55" s="24" t="str">
        <x:v>유의</x:v>
      </x:c>
      <x:c r="O55" s="33" t="n">
        <x:v>2.3677859559987532e-15</x:v>
      </x:c>
      <x:c r="P55" s="27" t="n">
        <x:v>-12.701378273628</x:v>
      </x:c>
    </x:row>
    <x:row r="56" ht="24" customHeight="1">
      <x:c r="A56" s="3"/>
      <x:c r="B56" s="17" t="d">
        <x:v>2013-03-08T00:00:00.000Z</x:v>
      </x:c>
      <x:c r="C56" s="3" t="str">
        <x:v>D+2 학습</x:v>
      </x:c>
      <x:c r="D56" s="3" t="str">
        <x:v>꾸준형</x:v>
      </x:c>
      <x:c r="E56" s="24" t="str">
        <x:v>멈춤-몰입형</x:v>
      </x:c>
      <x:c r="F56" s="29" t="n">
        <x:v>4602</x:v>
      </x:c>
      <x:c r="G56" s="29" t="n">
        <x:v>924</x:v>
      </x:c>
      <x:c r="H56" s="25" t="n">
        <x:v>0.5141242937853108</x:v>
      </x:c>
      <x:c r="I56" s="25" t="n">
        <x:v>0.23160173160173161</x:v>
      </x:c>
      <x:c r="J56" s="27" t="n">
        <x:f>(H56-I56)*100</x:f>
        <x:v>28.252256218357918</x:v>
      </x:c>
      <x:c r="K56" s="27" t="n">
        <x:v>25.076831307742335</x:v>
      </x:c>
      <x:c r="L56" s="27" t="n">
        <x:v>31.230340044622633</x:v>
      </x:c>
      <x:c r="M56" s="33" t="n">
        <x:v>1.4360746444564063e-53</x:v>
      </x:c>
      <x:c r="N56" s="24" t="str">
        <x:v>유의</x:v>
      </x:c>
      <x:c r="O56" s="33" t="n">
        <x:v>1.317499673813224e-55</x:v>
      </x:c>
      <x:c r="P56" s="27" t="n">
        <x:v>-52.842822985697474</x:v>
      </x:c>
    </x:row>
    <x:row r="57" ht="24" customHeight="1">
      <x:c r="A57" s="3"/>
      <x:c r="B57" s="17" t="d">
        <x:v>2013-03-08T00:00:00.000Z</x:v>
      </x:c>
      <x:c r="C57" s="3" t="str">
        <x:v>D+2 학습</x:v>
      </x:c>
      <x:c r="D57" s="3" t="str">
        <x:v>꾸준형</x:v>
      </x:c>
      <x:c r="E57" s="24" t="str">
        <x:v>멈춤-저활동형</x:v>
      </x:c>
      <x:c r="F57" s="29" t="n">
        <x:v>4602</x:v>
      </x:c>
      <x:c r="G57" s="29" t="n">
        <x:v>1846</x:v>
      </x:c>
      <x:c r="H57" s="25" t="n">
        <x:v>0.5141242937853108</x:v>
      </x:c>
      <x:c r="I57" s="25" t="n">
        <x:v>0.18851570964247022</x:v>
      </x:c>
      <x:c r="J57" s="27" t="n">
        <x:f>(H57-I57)*100</x:f>
        <x:v>32.560858414284056</x:v>
      </x:c>
      <x:c r="K57" s="27" t="n">
        <x:v>30.215066955223353</x:v>
      </x:c>
      <x:c r="L57" s="27" t="n">
        <x:v>34.80462123216015</x:v>
      </x:c>
      <x:c r="M57" s="33" t="n">
        <x:v>1.4928469238612618e-124</x:v>
      </x:c>
      <x:c r="N57" s="24" t="str">
        <x:v>유의</x:v>
      </x:c>
      <x:c r="O57" s="33" t="n">
        <x:v>1.203908809565509e-126</x:v>
      </x:c>
      <x:c r="P57" s="27" t="n">
        <x:v>-123.82598472243616</x:v>
      </x:c>
    </x:row>
    <x:row r="58" ht="24" customHeight="1">
      <x:c r="A58" s="3"/>
      <x:c r="B58" s="17" t="d">
        <x:v>2013-03-08T00:00:00.000Z</x:v>
      </x:c>
      <x:c r="C58" s="3" t="str">
        <x:v>D+2 학습</x:v>
      </x:c>
      <x:c r="D58" s="3" t="str">
        <x:v>습관 형성형</x:v>
      </x:c>
      <x:c r="E58" s="24" t="str">
        <x:v>최근 단발형</x:v>
      </x:c>
      <x:c r="F58" s="29" t="n">
        <x:v>4106</x:v>
      </x:c>
      <x:c r="G58" s="29" t="n">
        <x:v>2636</x:v>
      </x:c>
      <x:c r="H58" s="25" t="n">
        <x:v>0.2905504140282513</x:v>
      </x:c>
      <x:c r="I58" s="25" t="n">
        <x:v>0.22230652503793627</x:v>
      </x:c>
      <x:c r="J58" s="27" t="n">
        <x:f>(H58-I58)*100</x:f>
        <x:v>6.824388899031505</x:v>
      </x:c>
      <x:c r="K58" s="27" t="n">
        <x:v>4.698259350031504</x:v>
      </x:c>
      <x:c r="L58" s="27" t="n">
        <x:v>8.915482366321417</x:v>
      </x:c>
      <x:c r="M58" s="33" t="n">
        <x:v>3.7402531684638044e-8</x:v>
      </x:c>
      <x:c r="N58" s="24" t="str">
        <x:v>유의</x:v>
      </x:c>
      <x:c r="O58" s="33" t="n">
        <x:v>5.500372306564421e-10</x:v>
      </x:c>
      <x:c r="P58" s="27" t="n">
        <x:v>-7.427099000487854</x:v>
      </x:c>
    </x:row>
    <x:row r="59" ht="24" customHeight="1">
      <x:c r="A59" s="3"/>
      <x:c r="B59" s="17" t="d">
        <x:v>2013-03-08T00:00:00.000Z</x:v>
      </x:c>
      <x:c r="C59" s="3" t="str">
        <x:v>D+2 학습</x:v>
      </x:c>
      <x:c r="D59" s="3" t="str">
        <x:v>습관 형성형</x:v>
      </x:c>
      <x:c r="E59" s="24" t="str">
        <x:v>멈춤-꾸준형</x:v>
      </x:c>
      <x:c r="F59" s="29" t="n">
        <x:v>4106</x:v>
      </x:c>
      <x:c r="G59" s="29" t="n">
        <x:v>732</x:v>
      </x:c>
      <x:c r="H59" s="25" t="n">
        <x:v>0.2905504140282513</x:v>
      </x:c>
      <x:c r="I59" s="25" t="n">
        <x:v>0.35655737704918034</x:v>
      </x:c>
      <x:c r="J59" s="27" t="n">
        <x:f>(H59-I59)*100</x:f>
        <x:v>-6.600696302092901</x:v>
      </x:c>
      <x:c r="K59" s="27" t="n">
        <x:v>-10.392773985555772</x:v>
      </x:c>
      <x:c r="L59" s="27" t="n">
        <x:v>-2.933042598987338</x:v>
      </x:c>
      <x:c r="M59" s="33" t="n">
        <x:v>0.012980159762624706</x:v>
      </x:c>
      <x:c r="N59" s="24" t="str">
        <x:v>유의</x:v>
      </x:c>
      <x:c r="O59" s="33" t="n">
        <x:v>0.0003328246092980694</x:v>
      </x:c>
      <x:c r="P59" s="27" t="n">
        <x:v>-1.8867199621119726</x:v>
      </x:c>
    </x:row>
    <x:row r="60" ht="24" customHeight="1">
      <x:c r="A60" s="3"/>
      <x:c r="B60" s="17" t="d">
        <x:v>2013-03-08T00:00:00.000Z</x:v>
      </x:c>
      <x:c r="C60" s="3" t="str">
        <x:v>D+2 학습</x:v>
      </x:c>
      <x:c r="D60" s="3" t="str">
        <x:v>습관 형성형</x:v>
      </x:c>
      <x:c r="E60" s="24" t="str">
        <x:v>멈춤-몰입형</x:v>
      </x:c>
      <x:c r="F60" s="29" t="n">
        <x:v>4106</x:v>
      </x:c>
      <x:c r="G60" s="29" t="n">
        <x:v>924</x:v>
      </x:c>
      <x:c r="H60" s="25" t="n">
        <x:v>0.2905504140282513</x:v>
      </x:c>
      <x:c r="I60" s="25" t="n">
        <x:v>0.23160173160173161</x:v>
      </x:c>
      <x:c r="J60" s="27" t="n">
        <x:f>(H60-I60)*100</x:f>
        <x:v>5.894868242651971</x:v>
      </x:c>
      <x:c r="K60" s="27" t="n">
        <x:v>2.753277078636905</x:v>
      </x:c>
      <x:c r="L60" s="27" t="n">
        <x:v>8.856415860391639</x:v>
      </x:c>
      <x:c r="M60" s="33" t="n">
        <x:v>0.012399746751100348</x:v>
      </x:c>
      <x:c r="N60" s="24" t="str">
        <x:v>유의</x:v>
      </x:c>
      <x:c r="O60" s="33" t="n">
        <x:v>0.00030999366877750885</x:v>
      </x:c>
      <x:c r="P60" s="27" t="n">
        <x:v>-1.90658718465412</x:v>
      </x:c>
    </x:row>
    <x:row r="61" ht="24" customHeight="1">
      <x:c r="A61" s="3"/>
      <x:c r="B61" s="17" t="d">
        <x:v>2013-03-08T00:00:00.000Z</x:v>
      </x:c>
      <x:c r="C61" s="3" t="str">
        <x:v>D+2 학습</x:v>
      </x:c>
      <x:c r="D61" s="3" t="str">
        <x:v>습관 형성형</x:v>
      </x:c>
      <x:c r="E61" s="24" t="str">
        <x:v>멈춤-저활동형</x:v>
      </x:c>
      <x:c r="F61" s="29" t="n">
        <x:v>4106</x:v>
      </x:c>
      <x:c r="G61" s="29" t="n">
        <x:v>1846</x:v>
      </x:c>
      <x:c r="H61" s="25" t="n">
        <x:v>0.2905504140282513</x:v>
      </x:c>
      <x:c r="I61" s="25" t="n">
        <x:v>0.18851570964247022</x:v>
      </x:c>
      <x:c r="J61" s="27" t="n">
        <x:f>(H61-I61)*100</x:f>
        <x:v>10.20347043857811</x:v>
      </x:c>
      <x:c r="K61" s="27" t="n">
        <x:v>7.903685829476272</x:v>
      </x:c>
      <x:c r="L61" s="27" t="n">
        <x:v>12.425238337968883</x:v>
      </x:c>
      <x:c r="M61" s="33" t="n">
        <x:v>8.148288834860728e-15</x:v>
      </x:c>
      <x:c r="N61" s="24" t="str">
        <x:v>유의</x:v>
      </x:c>
      <x:c r="O61" s="33" t="n">
        <x:v>9.365849235472118e-17</x:v>
      </x:c>
      <x:c r="P61" s="27" t="n">
        <x:v>-14.08893358483106</x:v>
      </x:c>
    </x:row>
    <x:row r="62" ht="24" customHeight="1">
      <x:c r="A62" s="3"/>
      <x:c r="B62" s="17" t="d">
        <x:v>2013-03-08T00:00:00.000Z</x:v>
      </x:c>
      <x:c r="C62" s="3" t="str">
        <x:v>D+2 학습</x:v>
      </x:c>
      <x:c r="D62" s="3" t="str">
        <x:v>최근 단발형</x:v>
      </x:c>
      <x:c r="E62" s="24" t="str">
        <x:v>멈춤-꾸준형</x:v>
      </x:c>
      <x:c r="F62" s="29" t="n">
        <x:v>2636</x:v>
      </x:c>
      <x:c r="G62" s="29" t="n">
        <x:v>732</x:v>
      </x:c>
      <x:c r="H62" s="25" t="n">
        <x:v>0.22230652503793627</x:v>
      </x:c>
      <x:c r="I62" s="25" t="n">
        <x:v>0.35655737704918034</x:v>
      </x:c>
      <x:c r="J62" s="27" t="n">
        <x:f>(H62-I62)*100</x:f>
        <x:v>-13.425085201124407</x:v>
      </x:c>
      <x:c r="K62" s="27" t="n">
        <x:v>-17.28482502391896</x:v>
      </x:c>
      <x:c r="L62" s="27" t="n">
        <x:v>-9.667802007333796</x:v>
      </x:c>
      <x:c r="M62" s="33" t="n">
        <x:v>1.0257361439941774e-11</x:v>
      </x:c>
      <x:c r="N62" s="24" t="str">
        <x:v>유의</x:v>
      </x:c>
      <x:c r="O62" s="33" t="n">
        <x:v>1.2984001822711095e-13</x:v>
      </x:c>
      <x:c r="P62" s="27" t="n">
        <x:v>-10.988964340924552</x:v>
      </x:c>
    </x:row>
    <x:row r="63" ht="24" customHeight="1">
      <x:c r="A63" s="3"/>
      <x:c r="B63" s="17" t="d">
        <x:v>2013-03-08T00:00:00.000Z</x:v>
      </x:c>
      <x:c r="C63" s="3" t="str">
        <x:v>D+2 학습</x:v>
      </x:c>
      <x:c r="D63" s="3" t="str">
        <x:v>최근 단발형</x:v>
      </x:c>
      <x:c r="E63" s="24" t="str">
        <x:v>멈춤-몰입형</x:v>
      </x:c>
      <x:c r="F63" s="29" t="n">
        <x:v>2636</x:v>
      </x:c>
      <x:c r="G63" s="29" t="n">
        <x:v>924</x:v>
      </x:c>
      <x:c r="H63" s="25" t="n">
        <x:v>0.22230652503793627</x:v>
      </x:c>
      <x:c r="I63" s="25" t="n">
        <x:v>0.23160173160173161</x:v>
      </x:c>
      <x:c r="J63" s="27" t="n">
        <x:f>(H63-I63)*100</x:f>
        <x:v>-0.9295206563795344</x:v>
      </x:c>
      <x:c r="K63" s="27" t="n">
        <x:v>-4.152459281930221</x:v>
      </x:c>
      <x:c r="L63" s="27" t="n">
        <x:v>2.142328559414907</x:v>
      </x:c>
      <x:c r="M63" s="33" t="n">
        <x:v>1</x:v>
      </x:c>
      <x:c r="N63" s="24" t="str">
        <x:v>유의하지 않음</x:v>
      </x:c>
      <x:c r="O63" s="33" t="n">
        <x:v>0.5602324083532586</x:v>
      </x:c>
      <x:c r="P63" s="27" t="n">
        <x:v>0</x:v>
      </x:c>
    </x:row>
    <x:row r="64" ht="24" customHeight="1">
      <x:c r="A64" s="3"/>
      <x:c r="B64" s="17" t="d">
        <x:v>2013-03-08T00:00:00.000Z</x:v>
      </x:c>
      <x:c r="C64" s="3" t="str">
        <x:v>D+2 학습</x:v>
      </x:c>
      <x:c r="D64" s="3" t="str">
        <x:v>최근 단발형</x:v>
      </x:c>
      <x:c r="E64" s="24" t="str">
        <x:v>멈춤-저활동형</x:v>
      </x:c>
      <x:c r="F64" s="29" t="n">
        <x:v>2636</x:v>
      </x:c>
      <x:c r="G64" s="29" t="n">
        <x:v>1846</x:v>
      </x:c>
      <x:c r="H64" s="25" t="n">
        <x:v>0.22230652503793627</x:v>
      </x:c>
      <x:c r="I64" s="25" t="n">
        <x:v>0.18851570964247022</x:v>
      </x:c>
      <x:c r="J64" s="27" t="n">
        <x:f>(H64-I64)*100</x:f>
        <x:v>3.379081539546605</x:v>
      </x:c>
      <x:c r="K64" s="27" t="n">
        <x:v>0.9693621387634539</x:v>
      </x:c>
      <x:c r="L64" s="27" t="n">
        <x:v>5.745882315108566</x:v>
      </x:c>
      <x:c r="M64" s="33" t="n">
        <x:v>0.17134608238655433</x:v>
      </x:c>
      <x:c r="N64" s="24" t="str">
        <x:v>유의하지 않음</x:v>
      </x:c>
      <x:c r="O64" s="33" t="n">
        <x:v>0.006119502942376941</x:v>
      </x:c>
      <x:c r="P64" s="27" t="n">
        <x:v>-0.76612582071968</x:v>
      </x:c>
    </x:row>
    <x:row r="65" ht="24" customHeight="1">
      <x:c r="A65" s="3"/>
      <x:c r="B65" s="17" t="d">
        <x:v>2013-03-08T00:00:00.000Z</x:v>
      </x:c>
      <x:c r="C65" s="3" t="str">
        <x:v>D+2 학습</x:v>
      </x:c>
      <x:c r="D65" s="3" t="str">
        <x:v>멈춤-꾸준형</x:v>
      </x:c>
      <x:c r="E65" s="24" t="str">
        <x:v>멈춤-몰입형</x:v>
      </x:c>
      <x:c r="F65" s="29" t="n">
        <x:v>732</x:v>
      </x:c>
      <x:c r="G65" s="29" t="n">
        <x:v>924</x:v>
      </x:c>
      <x:c r="H65" s="25" t="n">
        <x:v>0.35655737704918034</x:v>
      </x:c>
      <x:c r="I65" s="25" t="n">
        <x:v>0.23160173160173161</x:v>
      </x:c>
      <x:c r="J65" s="27" t="n">
        <x:f>(H65-I65)*100</x:f>
        <x:v>12.495564544744871</x:v>
      </x:c>
      <x:c r="K65" s="27" t="n">
        <x:v>8.083496415054675</x:v>
      </x:c>
      <x:c r="L65" s="27" t="n">
        <x:v>16.88824981720215</x:v>
      </x:c>
      <x:c r="M65" s="33" t="n">
        <x:v>0.000001461575443119202</x:v>
      </x:c>
      <x:c r="N65" s="24" t="str">
        <x:v>유의</x:v>
      </x:c>
      <x:c r="O65" s="33" t="n">
        <x:v>2.3573797469664524e-8</x:v>
      </x:c>
      <x:c r="P65" s="27" t="n">
        <x:v>-5.835178762458622</x:v>
      </x:c>
    </x:row>
    <x:row r="66" ht="24" customHeight="1">
      <x:c r="A66" s="3"/>
      <x:c r="B66" s="17" t="d">
        <x:v>2013-03-08T00:00:00.000Z</x:v>
      </x:c>
      <x:c r="C66" s="3" t="str">
        <x:v>D+2 학습</x:v>
      </x:c>
      <x:c r="D66" s="3" t="str">
        <x:v>멈춤-꾸준형</x:v>
      </x:c>
      <x:c r="E66" s="24" t="str">
        <x:v>멈춤-저활동형</x:v>
      </x:c>
      <x:c r="F66" s="29" t="n">
        <x:v>732</x:v>
      </x:c>
      <x:c r="G66" s="29" t="n">
        <x:v>1846</x:v>
      </x:c>
      <x:c r="H66" s="25" t="n">
        <x:v>0.35655737704918034</x:v>
      </x:c>
      <x:c r="I66" s="25" t="n">
        <x:v>0.18851570964247022</x:v>
      </x:c>
      <x:c r="J66" s="27" t="n">
        <x:f>(H66-I66)*100</x:f>
        <x:v>16.80416674067101</x:v>
      </x:c>
      <x:c r="K66" s="27" t="n">
        <x:v>12.945959982671628</x:v>
      </x:c>
      <x:c r="L66" s="27" t="n">
        <x:v>20.736236451330637</x:v>
      </x:c>
      <x:c r="M66" s="33" t="n">
        <x:v>1.1902007089815432e-17</x:v>
      </x:c>
      <x:c r="N66" s="24" t="str">
        <x:v>유의</x:v>
      </x:c>
      <x:c r="O66" s="33" t="n">
        <x:v>1.3373041673949903e-19</x:v>
      </x:c>
      <x:c r="P66" s="27" t="n">
        <x:v>-16.924379795369592</x:v>
      </x:c>
    </x:row>
    <x:row r="67" ht="24" customHeight="1">
      <x:c r="A67" s="3"/>
      <x:c r="B67" s="17" t="d">
        <x:v>2013-03-08T00:00:00.000Z</x:v>
      </x:c>
      <x:c r="C67" s="3" t="str">
        <x:v>D+2 학습</x:v>
      </x:c>
      <x:c r="D67" s="3" t="str">
        <x:v>멈춤-몰입형</x:v>
      </x:c>
      <x:c r="E67" s="24" t="str">
        <x:v>멈춤-저활동형</x:v>
      </x:c>
      <x:c r="F67" s="29" t="n">
        <x:v>924</x:v>
      </x:c>
      <x:c r="G67" s="29" t="n">
        <x:v>1846</x:v>
      </x:c>
      <x:c r="H67" s="25" t="n">
        <x:v>0.23160173160173161</x:v>
      </x:c>
      <x:c r="I67" s="25" t="n">
        <x:v>0.18851570964247022</x:v>
      </x:c>
      <x:c r="J67" s="27" t="n">
        <x:f>(H67-I67)*100</x:f>
        <x:v>4.30860219592614</x:v>
      </x:c>
      <x:c r="K67" s="27" t="n">
        <x:v>1.1141006708509558</x:v>
      </x:c>
      <x:c r="L67" s="27" t="n">
        <x:v>7.617818733701704</x:v>
      </x:c>
      <x:c r="M67" s="33" t="n">
        <x:v>0.20398424219148892</x:v>
      </x:c>
      <x:c r="N67" s="24" t="str">
        <x:v>유의하지 않음</x:v>
      </x:c>
      <x:c r="O67" s="33" t="n">
        <x:v>0.007845547776595728</x:v>
      </x:c>
      <x:c r="P67" s="27" t="n">
        <x:v>-0.6904033805819845</x:v>
      </x:c>
    </x:row>
    <x:row r="68" ht="24" customHeight="1">
      <x:c r="A68" s="3"/>
      <x:c r="B68" s="17" t="d">
        <x:v>2013-03-08T00:00:00.000Z</x:v>
      </x:c>
      <x:c r="C68" s="3" t="str">
        <x:v>D+3 학습</x:v>
      </x:c>
      <x:c r="D68" s="3" t="str">
        <x:v>꾸준형</x:v>
      </x:c>
      <x:c r="E68" s="24" t="str">
        <x:v>습관 형성형</x:v>
      </x:c>
      <x:c r="F68" s="29" t="n">
        <x:v>4602</x:v>
      </x:c>
      <x:c r="G68" s="29" t="n">
        <x:v>4106</x:v>
      </x:c>
      <x:c r="H68" s="25" t="n">
        <x:v>0.5617122990004346</x:v>
      </x:c>
      <x:c r="I68" s="25" t="n">
        <x:v>0.35094982951777887</x:v>
      </x:c>
      <x:c r="J68" s="27" t="n">
        <x:f>(H68-I68)*100</x:f>
        <x:v>21.076246948265577</x:v>
      </x:c>
      <x:c r="K68" s="27" t="n">
        <x:v>19.01753851415799</x:v>
      </x:c>
      <x:c r="L68" s="27" t="n">
        <x:v>23.107862445350438</x:v>
      </x:c>
      <x:c r="M68" s="33" t="n">
        <x:v>2.973449558562656e-84</x:v>
      </x:c>
      <x:c r="N68" s="24" t="str">
        <x:v>유의</x:v>
      </x:c>
      <x:c r="O68" s="33" t="n">
        <x:v>2.541409879113412e-86</x:v>
      </x:c>
      <x:c r="P68" s="27" t="n">
        <x:v>-83.52673942445028</x:v>
      </x:c>
    </x:row>
    <x:row r="69" ht="24" customHeight="1">
      <x:c r="A69" s="3"/>
      <x:c r="B69" s="17" t="d">
        <x:v>2013-03-08T00:00:00.000Z</x:v>
      </x:c>
      <x:c r="C69" s="3" t="str">
        <x:v>D+3 학습</x:v>
      </x:c>
      <x:c r="D69" s="3" t="str">
        <x:v>꾸준형</x:v>
      </x:c>
      <x:c r="E69" s="24" t="str">
        <x:v>최근 단발형</x:v>
      </x:c>
      <x:c r="F69" s="29" t="n">
        <x:v>4602</x:v>
      </x:c>
      <x:c r="G69" s="29" t="n">
        <x:v>2636</x:v>
      </x:c>
      <x:c r="H69" s="25" t="n">
        <x:v>0.5617122990004346</x:v>
      </x:c>
      <x:c r="I69" s="25" t="n">
        <x:v>0.26176024279210924</x:v>
      </x:c>
      <x:c r="J69" s="27" t="n">
        <x:f>(H69-I69)*100</x:f>
        <x:v>29.99520562083254</x:v>
      </x:c>
      <x:c r="K69" s="27" t="n">
        <x:v>27.75939066902034</x:v>
      </x:c>
      <x:c r="L69" s="27" t="n">
        <x:v>32.17161879418841</x:v>
      </x:c>
      <x:c r="M69" s="33" t="n">
        <x:v>2.749847649319892e-132</x:v>
      </x:c>
      <x:c r="N69" s="24" t="str">
        <x:v>유의</x:v>
      </x:c>
      <x:c r="O69" s="33" t="n">
        <x:v>2.1824187693015502e-134</x:v>
      </x:c>
      <x:c r="P69" s="27" t="n">
        <x:v>-131.56069136685792</x:v>
      </x:c>
    </x:row>
    <x:row r="70" ht="24" customHeight="1">
      <x:c r="A70" s="3"/>
      <x:c r="B70" s="17" t="d">
        <x:v>2013-03-08T00:00:00.000Z</x:v>
      </x:c>
      <x:c r="C70" s="3" t="str">
        <x:v>D+3 학습</x:v>
      </x:c>
      <x:c r="D70" s="3" t="str">
        <x:v>꾸준형</x:v>
      </x:c>
      <x:c r="E70" s="24" t="str">
        <x:v>멈춤-꾸준형</x:v>
      </x:c>
      <x:c r="F70" s="29" t="n">
        <x:v>4602</x:v>
      </x:c>
      <x:c r="G70" s="29" t="n">
        <x:v>732</x:v>
      </x:c>
      <x:c r="H70" s="25" t="n">
        <x:v>0.5617122990004346</x:v>
      </x:c>
      <x:c r="I70" s="25" t="n">
        <x:v>0.34153005464480873</x:v>
      </x:c>
      <x:c r="J70" s="27" t="n">
        <x:f>(H70-I70)*100</x:f>
        <x:v>22.01822443556259</x:v>
      </x:c>
      <x:c r="K70" s="27" t="n">
        <x:v>18.224920059712563</x:v>
      </x:c>
      <x:c r="L70" s="27" t="n">
        <x:v>25.654908550185368</x:v>
      </x:c>
      <x:c r="M70" s="33" t="n">
        <x:v>1.3675082611119622e-26</x:v>
      </x:c>
      <x:c r="N70" s="24" t="str">
        <x:v>유의</x:v>
      </x:c>
      <x:c r="O70" s="33" t="n">
        <x:v>1.4244877719916274e-28</x:v>
      </x:c>
      <x:c r="P70" s="27" t="n">
        <x:v>-25.864070041415367</x:v>
      </x:c>
    </x:row>
    <x:row r="71" ht="24" customHeight="1">
      <x:c r="A71" s="3"/>
      <x:c r="B71" s="17" t="d">
        <x:v>2013-03-08T00:00:00.000Z</x:v>
      </x:c>
      <x:c r="C71" s="3" t="str">
        <x:v>D+3 학습</x:v>
      </x:c>
      <x:c r="D71" s="3" t="str">
        <x:v>꾸준형</x:v>
      </x:c>
      <x:c r="E71" s="24" t="str">
        <x:v>멈춤-몰입형</x:v>
      </x:c>
      <x:c r="F71" s="29" t="n">
        <x:v>4602</x:v>
      </x:c>
      <x:c r="G71" s="29" t="n">
        <x:v>924</x:v>
      </x:c>
      <x:c r="H71" s="25" t="n">
        <x:v>0.5617122990004346</x:v>
      </x:c>
      <x:c r="I71" s="25" t="n">
        <x:v>0.23160173160173161</x:v>
      </x:c>
      <x:c r="J71" s="27" t="n">
        <x:f>(H71-I71)*100</x:f>
        <x:v>33.011056739870305</x:v>
      </x:c>
      <x:c r="K71" s="27" t="n">
        <x:v>29.838577575644965</x:v>
      </x:c>
      <x:c r="L71" s="27" t="n">
        <x:v>35.9821816822711</x:v>
      </x:c>
      <x:c r="M71" s="33" t="n">
        <x:v>7.034586041903635e-73</x:v>
      </x:c>
      <x:c r="N71" s="24" t="str">
        <x:v>유의</x:v>
      </x:c>
      <x:c r="O71" s="33" t="n">
        <x:v>6.170689510441734e-75</x:v>
      </x:c>
      <x:c r="P71" s="27" t="n">
        <x:v>-72.15276145402262</x:v>
      </x:c>
    </x:row>
    <x:row r="72" ht="24" customHeight="1">
      <x:c r="A72" s="3"/>
      <x:c r="B72" s="17" t="d">
        <x:v>2013-03-08T00:00:00.000Z</x:v>
      </x:c>
      <x:c r="C72" s="3" t="str">
        <x:v>D+3 학습</x:v>
      </x:c>
      <x:c r="D72" s="3" t="str">
        <x:v>꾸준형</x:v>
      </x:c>
      <x:c r="E72" s="24" t="str">
        <x:v>멈춤-저활동형</x:v>
      </x:c>
      <x:c r="F72" s="29" t="n">
        <x:v>4602</x:v>
      </x:c>
      <x:c r="G72" s="29" t="n">
        <x:v>1846</x:v>
      </x:c>
      <x:c r="H72" s="25" t="n">
        <x:v>0.5617122990004346</x:v>
      </x:c>
      <x:c r="I72" s="25" t="n">
        <x:v>0.18851570964247022</x:v>
      </x:c>
      <x:c r="J72" s="27" t="n">
        <x:f>(H72-I72)*100</x:f>
        <x:v>37.31965893579644</x:v>
      </x:c>
      <x:c r="K72" s="27" t="n">
        <x:v>34.97785658421165</x:v>
      </x:c>
      <x:c r="L72" s="27" t="n">
        <x:v>39.55417716798429</x:v>
      </x:c>
      <x:c r="M72" s="33" t="n">
        <x:v>7.670589143362984e-161</x:v>
      </x:c>
      <x:c r="N72" s="24" t="str">
        <x:v>유의</x:v>
      </x:c>
      <x:c r="O72" s="33" t="n">
        <x:v>5.94619313438997e-163</x:v>
      </x:c>
      <x:c r="P72" s="27" t="n">
        <x:v>-160.1151712785692</x:v>
      </x:c>
    </x:row>
    <x:row r="73" ht="24" customHeight="1">
      <x:c r="A73" s="3"/>
      <x:c r="B73" s="17" t="d">
        <x:v>2013-03-08T00:00:00.000Z</x:v>
      </x:c>
      <x:c r="C73" s="3" t="str">
        <x:v>D+3 학습</x:v>
      </x:c>
      <x:c r="D73" s="3" t="str">
        <x:v>습관 형성형</x:v>
      </x:c>
      <x:c r="E73" s="24" t="str">
        <x:v>최근 단발형</x:v>
      </x:c>
      <x:c r="F73" s="29" t="n">
        <x:v>4106</x:v>
      </x:c>
      <x:c r="G73" s="29" t="n">
        <x:v>2636</x:v>
      </x:c>
      <x:c r="H73" s="25" t="n">
        <x:v>0.35094982951777887</x:v>
      </x:c>
      <x:c r="I73" s="25" t="n">
        <x:v>0.26176024279210924</x:v>
      </x:c>
      <x:c r="J73" s="27" t="n">
        <x:f>(H73-I73)*100</x:f>
        <x:v>8.918958672566962</x:v>
      </x:c>
      <x:c r="K73" s="27" t="n">
        <x:v>6.678523816739674</x:v>
      </x:c>
      <x:c r="L73" s="27" t="n">
        <x:v>11.125375005511891</x:v>
      </x:c>
      <x:c r="M73" s="33" t="n">
        <x:v>1.244635239563207e-12</x:v>
      </x:c>
      <x:c r="N73" s="24" t="str">
        <x:v>유의</x:v>
      </x:c>
      <x:c r="O73" s="33" t="n">
        <x:v>1.5178478531258633e-14</x:v>
      </x:c>
      <x:c r="P73" s="27" t="n">
        <x:v>-11.90495790692604</x:v>
      </x:c>
    </x:row>
    <x:row r="74" ht="24" customHeight="1">
      <x:c r="A74" s="3"/>
      <x:c r="B74" s="17" t="d">
        <x:v>2013-03-08T00:00:00.000Z</x:v>
      </x:c>
      <x:c r="C74" s="3" t="str">
        <x:v>D+3 학습</x:v>
      </x:c>
      <x:c r="D74" s="3" t="str">
        <x:v>습관 형성형</x:v>
      </x:c>
      <x:c r="E74" s="24" t="str">
        <x:v>멈춤-꾸준형</x:v>
      </x:c>
      <x:c r="F74" s="29" t="n">
        <x:v>4106</x:v>
      </x:c>
      <x:c r="G74" s="29" t="n">
        <x:v>732</x:v>
      </x:c>
      <x:c r="H74" s="25" t="n">
        <x:v>0.35094982951777887</x:v>
      </x:c>
      <x:c r="I74" s="25" t="n">
        <x:v>0.34153005464480873</x:v>
      </x:c>
      <x:c r="J74" s="27" t="n">
        <x:f>(H74-I74)*100</x:f>
        <x:v>0.9419774872970132</x:v>
      </x:c>
      <x:c r="K74" s="27" t="n">
        <x:v>-2.854051744980024</x:v>
      </x:c>
      <x:c r="L74" s="27" t="n">
        <x:v>4.5966963660452596</x:v>
      </x:c>
      <x:c r="M74" s="33" t="n">
        <x:v>1</x:v>
      </x:c>
      <x:c r="N74" s="24" t="str">
        <x:v>유의하지 않음</x:v>
      </x:c>
      <x:c r="O74" s="33" t="n">
        <x:v>0.62243639969164</x:v>
      </x:c>
      <x:c r="P74" s="27" t="n">
        <x:v>0</x:v>
      </x:c>
    </x:row>
    <x:row r="75" ht="24" customHeight="1">
      <x:c r="A75" s="3"/>
      <x:c r="B75" s="17" t="d">
        <x:v>2013-03-08T00:00:00.000Z</x:v>
      </x:c>
      <x:c r="C75" s="3" t="str">
        <x:v>D+3 학습</x:v>
      </x:c>
      <x:c r="D75" s="3" t="str">
        <x:v>습관 형성형</x:v>
      </x:c>
      <x:c r="E75" s="24" t="str">
        <x:v>멈춤-몰입형</x:v>
      </x:c>
      <x:c r="F75" s="29" t="n">
        <x:v>4106</x:v>
      </x:c>
      <x:c r="G75" s="29" t="n">
        <x:v>924</x:v>
      </x:c>
      <x:c r="H75" s="25" t="n">
        <x:v>0.35094982951777887</x:v>
      </x:c>
      <x:c r="I75" s="25" t="n">
        <x:v>0.23160173160173161</x:v>
      </x:c>
      <x:c r="J75" s="27" t="n">
        <x:f>(H75-I75)*100</x:f>
        <x:v>11.934809791604724</x:v>
      </x:c>
      <x:c r="K75" s="27" t="n">
        <x:v>8.759073043714126</x:v>
      </x:c>
      <x:c r="L75" s="27" t="n">
        <x:v>14.927982382098847</x:v>
      </x:c>
      <x:c r="M75" s="33" t="n">
        <x:v>2.258843039793262e-10</x:v>
      </x:c>
      <x:c r="N75" s="24" t="str">
        <x:v>유의</x:v>
      </x:c>
      <x:c r="O75" s="33" t="n">
        <x:v>3.0361275005986607e-12</x:v>
      </x:c>
      <x:c r="P75" s="27" t="n">
        <x:v>-9.646113945848104</x:v>
      </x:c>
    </x:row>
    <x:row r="76" ht="24" customHeight="1">
      <x:c r="A76" s="3"/>
      <x:c r="B76" s="17" t="d">
        <x:v>2013-03-08T00:00:00.000Z</x:v>
      </x:c>
      <x:c r="C76" s="3" t="str">
        <x:v>D+3 학습</x:v>
      </x:c>
      <x:c r="D76" s="3" t="str">
        <x:v>습관 형성형</x:v>
      </x:c>
      <x:c r="E76" s="24" t="str">
        <x:v>멈춤-저활동형</x:v>
      </x:c>
      <x:c r="F76" s="29" t="n">
        <x:v>4106</x:v>
      </x:c>
      <x:c r="G76" s="29" t="n">
        <x:v>1846</x:v>
      </x:c>
      <x:c r="H76" s="25" t="n">
        <x:v>0.35094982951777887</x:v>
      </x:c>
      <x:c r="I76" s="25" t="n">
        <x:v>0.18851570964247022</x:v>
      </x:c>
      <x:c r="J76" s="27" t="n">
        <x:f>(H76-I76)*100</x:f>
        <x:v>16.243411987530866</x:v>
      </x:c>
      <x:c r="K76" s="27" t="n">
        <x:v>13.897198421304013</x:v>
      </x:c>
      <x:c r="L76" s="27" t="n">
        <x:v>18.507163401248608</x:v>
      </x:c>
      <x:c r="M76" s="33" t="n">
        <x:v>1.2958088608903365e-34</x:v>
      </x:c>
      <x:c r="N76" s="24" t="str">
        <x:v>유의</x:v>
      </x:c>
      <x:c r="O76" s="33" t="n">
        <x:v>1.2341036770384216e-36</x:v>
      </x:c>
      <x:c r="P76" s="27" t="n">
        <x:v>-33.88745905462481</x:v>
      </x:c>
    </x:row>
    <x:row r="77" ht="24" customHeight="1">
      <x:c r="A77" s="3"/>
      <x:c r="B77" s="17" t="d">
        <x:v>2013-03-08T00:00:00.000Z</x:v>
      </x:c>
      <x:c r="C77" s="3" t="str">
        <x:v>D+3 학습</x:v>
      </x:c>
      <x:c r="D77" s="3" t="str">
        <x:v>최근 단발형</x:v>
      </x:c>
      <x:c r="E77" s="24" t="str">
        <x:v>멈춤-꾸준형</x:v>
      </x:c>
      <x:c r="F77" s="29" t="n">
        <x:v>2636</x:v>
      </x:c>
      <x:c r="G77" s="29" t="n">
        <x:v>732</x:v>
      </x:c>
      <x:c r="H77" s="25" t="n">
        <x:v>0.26176024279210924</x:v>
      </x:c>
      <x:c r="I77" s="25" t="n">
        <x:v>0.34153005464480873</x:v>
      </x:c>
      <x:c r="J77" s="27" t="n">
        <x:f>(H77-I77)*100</x:f>
        <x:v>-7.976981185269949</x:v>
      </x:c>
      <x:c r="K77" s="27" t="n">
        <x:v>-11.852436088305643</x:v>
      </x:c>
      <x:c r="L77" s="27" t="n">
        <x:v>-4.219647268147314</x:v>
      </x:c>
      <x:c r="M77" s="33" t="n">
        <x:v>0.0009339451247277256</x:v>
      </x:c>
      <x:c r="N77" s="24" t="str">
        <x:v>유의</x:v>
      </x:c>
      <x:c r="O77" s="33" t="n">
        <x:v>0.00002075433610506057</x:v>
      </x:c>
      <x:c r="P77" s="27" t="n">
        <x:v>-3.029678640609382</x:v>
      </x:c>
    </x:row>
    <x:row r="78" ht="24" customHeight="1">
      <x:c r="A78" s="3"/>
      <x:c r="B78" s="17" t="d">
        <x:v>2013-03-08T00:00:00.000Z</x:v>
      </x:c>
      <x:c r="C78" s="3" t="str">
        <x:v>D+3 학습</x:v>
      </x:c>
      <x:c r="D78" s="3" t="str">
        <x:v>최근 단발형</x:v>
      </x:c>
      <x:c r="E78" s="24" t="str">
        <x:v>멈춤-몰입형</x:v>
      </x:c>
      <x:c r="F78" s="29" t="n">
        <x:v>2636</x:v>
      </x:c>
      <x:c r="G78" s="29" t="n">
        <x:v>924</x:v>
      </x:c>
      <x:c r="H78" s="25" t="n">
        <x:v>0.26176024279210924</x:v>
      </x:c>
      <x:c r="I78" s="25" t="n">
        <x:v>0.23160173160173161</x:v>
      </x:c>
      <x:c r="J78" s="27" t="n">
        <x:f>(H78-I78)*100</x:f>
        <x:v>3.015851119037763</x:v>
      </x:c>
      <x:c r="K78" s="27" t="n">
        <x:v>-0.2544113574409007</x:v>
      </x:c>
      <x:c r="L78" s="27" t="n">
        <x:v>6.133489686698644</x:v>
      </x:c>
      <x:c r="M78" s="33" t="n">
        <x:v>1</x:v>
      </x:c>
      <x:c r="N78" s="24" t="str">
        <x:v>유의하지 않음</x:v>
      </x:c>
      <x:c r="O78" s="33" t="n">
        <x:v>0.06993003064181695</x:v>
      </x:c>
      <x:c r="P78" s="27" t="n">
        <x:v>0</x:v>
      </x:c>
    </x:row>
    <x:row r="79" ht="24" customHeight="1">
      <x:c r="A79" s="3"/>
      <x:c r="B79" s="17" t="d">
        <x:v>2013-03-08T00:00:00.000Z</x:v>
      </x:c>
      <x:c r="C79" s="3" t="str">
        <x:v>D+3 학습</x:v>
      </x:c>
      <x:c r="D79" s="3" t="str">
        <x:v>최근 단발형</x:v>
      </x:c>
      <x:c r="E79" s="24" t="str">
        <x:v>멈춤-저활동형</x:v>
      </x:c>
      <x:c r="F79" s="29" t="n">
        <x:v>2636</x:v>
      </x:c>
      <x:c r="G79" s="29" t="n">
        <x:v>1846</x:v>
      </x:c>
      <x:c r="H79" s="25" t="n">
        <x:v>0.26176024279210924</x:v>
      </x:c>
      <x:c r="I79" s="25" t="n">
        <x:v>0.18851570964247022</x:v>
      </x:c>
      <x:c r="J79" s="27" t="n">
        <x:f>(H79-I79)*100</x:f>
        <x:v>7.324453314963902</x:v>
      </x:c>
      <x:c r="K79" s="27" t="n">
        <x:v>4.851796672502494</x:v>
      </x:c>
      <x:c r="L79" s="27" t="n">
        <x:v>9.750387886462146</x:v>
      </x:c>
      <x:c r="M79" s="33" t="n">
        <x:v>6.672925703817582e-7</x:v>
      </x:c>
      <x:c r="N79" s="24" t="str">
        <x:v>유의</x:v>
      </x:c>
      <x:c r="O79" s="33" t="n">
        <x:v>1.05919455616152e-8</x:v>
      </x:c>
      <x:c r="P79" s="27" t="n">
        <x:v>-6.175683710545853</x:v>
      </x:c>
    </x:row>
    <x:row r="80" ht="24" customHeight="1">
      <x:c r="A80" s="3"/>
      <x:c r="B80" s="17" t="d">
        <x:v>2013-03-08T00:00:00.000Z</x:v>
      </x:c>
      <x:c r="C80" s="3" t="str">
        <x:v>D+3 학습</x:v>
      </x:c>
      <x:c r="D80" s="3" t="str">
        <x:v>멈춤-꾸준형</x:v>
      </x:c>
      <x:c r="E80" s="24" t="str">
        <x:v>멈춤-몰입형</x:v>
      </x:c>
      <x:c r="F80" s="29" t="n">
        <x:v>732</x:v>
      </x:c>
      <x:c r="G80" s="29" t="n">
        <x:v>924</x:v>
      </x:c>
      <x:c r="H80" s="25" t="n">
        <x:v>0.34153005464480873</x:v>
      </x:c>
      <x:c r="I80" s="25" t="n">
        <x:v>0.23160173160173161</x:v>
      </x:c>
      <x:c r="J80" s="27" t="n">
        <x:f>(H80-I80)*100</x:f>
        <x:v>10.992832304307711</x:v>
      </x:c>
      <x:c r="K80" s="27" t="n">
        <x:v>6.612956311376286</x:v>
      </x:c>
      <x:c r="L80" s="27" t="n">
        <x:v>15.36432630838258</x:v>
      </x:c>
      <x:c r="M80" s="33" t="n">
        <x:v>0.00004071604072275821</x:v>
      </x:c>
      <x:c r="N80" s="24" t="str">
        <x:v>유의</x:v>
      </x:c>
      <x:c r="O80" s="33" t="n">
        <x:v>7.540007541251519e-7</x:v>
      </x:c>
      <x:c r="P80" s="27" t="n">
        <x:v>-4.390234459940906</x:v>
      </x:c>
    </x:row>
    <x:row r="81" ht="24" customHeight="1">
      <x:c r="A81" s="3"/>
      <x:c r="B81" s="17" t="d">
        <x:v>2013-03-08T00:00:00.000Z</x:v>
      </x:c>
      <x:c r="C81" s="3" t="str">
        <x:v>D+3 학습</x:v>
      </x:c>
      <x:c r="D81" s="3" t="str">
        <x:v>멈춤-꾸준형</x:v>
      </x:c>
      <x:c r="E81" s="24" t="str">
        <x:v>멈춤-저활동형</x:v>
      </x:c>
      <x:c r="F81" s="29" t="n">
        <x:v>732</x:v>
      </x:c>
      <x:c r="G81" s="29" t="n">
        <x:v>1846</x:v>
      </x:c>
      <x:c r="H81" s="25" t="n">
        <x:v>0.34153005464480873</x:v>
      </x:c>
      <x:c r="I81" s="25" t="n">
        <x:v>0.18851570964247022</x:v>
      </x:c>
      <x:c r="J81" s="27" t="n">
        <x:f>(H81-I81)*100</x:f>
        <x:v>15.301434500233851</x:v>
      </x:c>
      <x:c r="K81" s="27" t="n">
        <x:v>11.480082917364093</x:v>
      </x:c>
      <x:c r="L81" s="27" t="n">
        <x:v>19.20981627972857</x:v>
      </x:c>
      <x:c r="M81" s="33" t="n">
        <x:v>8.977067679440566e-15</x:v>
      </x:c>
      <x:c r="N81" s="24" t="str">
        <x:v>유의</x:v>
      </x:c>
      <x:c r="O81" s="33" t="n">
        <x:v>1.0438450790047156e-16</x:v>
      </x:c>
      <x:c r="P81" s="27" t="n">
        <x:v>-14.0468655005939</x:v>
      </x:c>
    </x:row>
    <x:row r="82" ht="24" customHeight="1">
      <x:c r="A82" s="3"/>
      <x:c r="B82" s="17" t="d">
        <x:v>2013-03-08T00:00:00.000Z</x:v>
      </x:c>
      <x:c r="C82" s="3" t="str">
        <x:v>D+3 학습</x:v>
      </x:c>
      <x:c r="D82" s="3" t="str">
        <x:v>멈춤-몰입형</x:v>
      </x:c>
      <x:c r="E82" s="24" t="str">
        <x:v>멈춤-저활동형</x:v>
      </x:c>
      <x:c r="F82" s="29" t="n">
        <x:v>924</x:v>
      </x:c>
      <x:c r="G82" s="29" t="n">
        <x:v>1846</x:v>
      </x:c>
      <x:c r="H82" s="25" t="n">
        <x:v>0.23160173160173161</x:v>
      </x:c>
      <x:c r="I82" s="25" t="n">
        <x:v>0.18851570964247022</x:v>
      </x:c>
      <x:c r="J82" s="27" t="n">
        <x:f>(H82-I82)*100</x:f>
        <x:v>4.30860219592614</x:v>
      </x:c>
      <x:c r="K82" s="27" t="n">
        <x:v>1.1141006708509558</x:v>
      </x:c>
      <x:c r="L82" s="27" t="n">
        <x:v>7.617818733701704</x:v>
      </x:c>
      <x:c r="M82" s="33" t="n">
        <x:v>0.20398424219148892</x:v>
      </x:c>
      <x:c r="N82" s="24" t="str">
        <x:v>유의하지 않음</x:v>
      </x:c>
      <x:c r="O82" s="33" t="n">
        <x:v>0.007845547776595728</x:v>
      </x:c>
      <x:c r="P82" s="27" t="n">
        <x:v>-0.6904033805819845</x:v>
      </x:c>
    </x:row>
    <x:row r="83" ht="24" customHeight="1">
      <x:c r="A83" s="3"/>
      <x:c r="B83" s="17" t="d">
        <x:v>2013-03-08T00:00:00.000Z</x:v>
      </x:c>
      <x:c r="C83" s="3" t="str">
        <x:v>2일 내 추가 학습</x:v>
      </x:c>
      <x:c r="D83" s="3" t="str">
        <x:v>꾸준형</x:v>
      </x:c>
      <x:c r="E83" s="24" t="str">
        <x:v>습관 형성형</x:v>
      </x:c>
      <x:c r="F83" s="29" t="n">
        <x:v>4602</x:v>
      </x:c>
      <x:c r="G83" s="29" t="n">
        <x:v>4106</x:v>
      </x:c>
      <x:c r="H83" s="25" t="n">
        <x:v>0.7062146892655368</x:v>
      </x:c>
      <x:c r="I83" s="25" t="n">
        <x:v>0.47272284461763275</x:v>
      </x:c>
      <x:c r="J83" s="27" t="n">
        <x:f>(H83-I83)*100</x:f>
        <x:v>23.3491844647904</x:v>
      </x:c>
      <x:c r="K83" s="27" t="n">
        <x:v>21.320919068237952</x:v>
      </x:c>
      <x:c r="L83" s="27" t="n">
        <x:v>25.35113035492061</x:v>
      </x:c>
      <x:c r="M83" s="33" t="n">
        <x:v>8.774338901760842e-107</x:v>
      </x:c>
      <x:c r="N83" s="24" t="str">
        <x:v>유의</x:v>
      </x:c>
      <x:c r="O83" s="33" t="n">
        <x:v>7.192081067017152e-109</x:v>
      </x:c>
      <x:c r="P83" s="27" t="n">
        <x:v>-106.05678559533314</x:v>
      </x:c>
    </x:row>
    <x:row r="84" ht="24" customHeight="1">
      <x:c r="A84" s="3"/>
      <x:c r="B84" s="17" t="d">
        <x:v>2013-03-08T00:00:00.000Z</x:v>
      </x:c>
      <x:c r="C84" s="3" t="str">
        <x:v>2일 내 추가 학습</x:v>
      </x:c>
      <x:c r="D84" s="3" t="str">
        <x:v>꾸준형</x:v>
      </x:c>
      <x:c r="E84" s="24" t="str">
        <x:v>최근 단발형</x:v>
      </x:c>
      <x:c r="F84" s="29" t="n">
        <x:v>4602</x:v>
      </x:c>
      <x:c r="G84" s="29" t="n">
        <x:v>2636</x:v>
      </x:c>
      <x:c r="H84" s="25" t="n">
        <x:v>0.7062146892655368</x:v>
      </x:c>
      <x:c r="I84" s="25" t="n">
        <x:v>0.38163884673748105</x:v>
      </x:c>
      <x:c r="J84" s="27" t="n">
        <x:f>(H84-I84)*100</x:f>
        <x:v>32.457584252805574</x:v>
      </x:c>
      <x:c r="K84" s="27" t="n">
        <x:v>30.16088920660241</x:v>
      </x:c>
      <x:c r="L84" s="27" t="n">
        <x:v>34.70627817371951</x:v>
      </x:c>
      <x:c r="M84" s="33" t="n">
        <x:v>2.0468575858859983e-158</x:v>
      </x:c>
      <x:c r="N84" s="24" t="str">
        <x:v>유의</x:v>
      </x:c>
      <x:c r="O84" s="33" t="n">
        <x:v>1.5991074889734153e-160</x:v>
      </x:c>
      <x:c r="P84" s="27" t="n">
        <x:v>-157.68891237317308</x:v>
      </x:c>
    </x:row>
    <x:row r="85" ht="24" customHeight="1">
      <x:c r="A85" s="3"/>
      <x:c r="B85" s="17" t="d">
        <x:v>2013-03-08T00:00:00.000Z</x:v>
      </x:c>
      <x:c r="C85" s="3" t="str">
        <x:v>2일 내 추가 학습</x:v>
      </x:c>
      <x:c r="D85" s="3" t="str">
        <x:v>꾸준형</x:v>
      </x:c>
      <x:c r="E85" s="24" t="str">
        <x:v>멈춤-꾸준형</x:v>
      </x:c>
      <x:c r="F85" s="29" t="n">
        <x:v>4602</x:v>
      </x:c>
      <x:c r="G85" s="29" t="n">
        <x:v>732</x:v>
      </x:c>
      <x:c r="H85" s="25" t="n">
        <x:v>0.7062146892655368</x:v>
      </x:c>
      <x:c r="I85" s="25" t="n">
        <x:v>0.5601092896174863</x:v>
      </x:c>
      <x:c r="J85" s="27" t="n">
        <x:f>(H85-I85)*100</x:f>
        <x:v>14.610539964805048</x:v>
      </x:c>
      <x:c r="K85" s="27" t="n">
        <x:v>10.81372926494646</x:v>
      </x:c>
      <x:c r="L85" s="27" t="n">
        <x:v>18.45442520757091</x:v>
      </x:c>
      <x:c r="M85" s="33" t="n">
        <x:v>2.097030052878527e-13</x:v>
      </x:c>
      <x:c r="N85" s="24" t="str">
        <x:v>유의</x:v>
      </x:c>
      <x:c r="O85" s="33" t="n">
        <x:v>2.5265422323837714e-15</x:v>
      </x:c>
      <x:c r="P85" s="27" t="n">
        <x:v>-12.678395345545248</x:v>
      </x:c>
    </x:row>
    <x:row r="86" ht="24" customHeight="1">
      <x:c r="A86" s="3"/>
      <x:c r="B86" s="17" t="d">
        <x:v>2013-03-08T00:00:00.000Z</x:v>
      </x:c>
      <x:c r="C86" s="3" t="str">
        <x:v>2일 내 추가 학습</x:v>
      </x:c>
      <x:c r="D86" s="3" t="str">
        <x:v>꾸준형</x:v>
      </x:c>
      <x:c r="E86" s="24" t="str">
        <x:v>멈춤-몰입형</x:v>
      </x:c>
      <x:c r="F86" s="29" t="n">
        <x:v>4602</x:v>
      </x:c>
      <x:c r="G86" s="29" t="n">
        <x:v>924</x:v>
      </x:c>
      <x:c r="H86" s="25" t="n">
        <x:v>0.7062146892655368</x:v>
      </x:c>
      <x:c r="I86" s="25" t="n">
        <x:v>0.3852813852813853</x:v>
      </x:c>
      <x:c r="J86" s="27" t="n">
        <x:f>(H86-I86)*100</x:f>
        <x:v>32.09333039841515</x:v>
      </x:c>
      <x:c r="K86" s="27" t="n">
        <x:v>28.646021664638944</x:v>
      </x:c>
      <x:c r="L86" s="27" t="n">
        <x:v>35.43973856980651</x:v>
      </x:c>
      <x:c r="M86" s="33" t="n">
        <x:v>6.05115368323722e-76</x:v>
      </x:c>
      <x:c r="N86" s="24" t="str">
        <x:v>유의</x:v>
      </x:c>
      <x:c r="O86" s="33" t="n">
        <x:v>5.261872768032388e-78</x:v>
      </x:c>
      <x:c r="P86" s="27" t="n">
        <x:v>-75.21816181700075</x:v>
      </x:c>
    </x:row>
    <x:row r="87" ht="24" customHeight="1">
      <x:c r="A87" s="3"/>
      <x:c r="B87" s="17" t="d">
        <x:v>2013-03-08T00:00:00.000Z</x:v>
      </x:c>
      <x:c r="C87" s="3" t="str">
        <x:v>2일 내 추가 학습</x:v>
      </x:c>
      <x:c r="D87" s="3" t="str">
        <x:v>꾸준형</x:v>
      </x:c>
      <x:c r="E87" s="24" t="str">
        <x:v>멈춤-저활동형</x:v>
      </x:c>
      <x:c r="F87" s="29" t="n">
        <x:v>4602</x:v>
      </x:c>
      <x:c r="G87" s="29" t="n">
        <x:v>1846</x:v>
      </x:c>
      <x:c r="H87" s="25" t="n">
        <x:v>0.7062146892655368</x:v>
      </x:c>
      <x:c r="I87" s="25" t="n">
        <x:v>0.3076923076923077</x:v>
      </x:c>
      <x:c r="J87" s="27" t="n">
        <x:f>(H87-I87)*100</x:f>
        <x:v>39.85223815732291</x:v>
      </x:c>
      <x:c r="K87" s="27" t="n">
        <x:v>37.32813456854963</x:v>
      </x:c>
      <x:c r="L87" s="27" t="n">
        <x:v>42.29038428861019</x:v>
      </x:c>
      <x:c r="M87" s="33" t="n">
        <x:v>2.6143730428839173e-188</x:v>
      </x:c>
      <x:c r="N87" s="24" t="str">
        <x:v>유의</x:v>
      </x:c>
      <x:c r="O87" s="33" t="n">
        <x:v>1.9805856385483735e-190</x:v>
      </x:c>
      <x:c r="P87" s="27" t="n">
        <x:v>-187.5826324431874</x:v>
      </x:c>
    </x:row>
    <x:row r="88" ht="24" customHeight="1">
      <x:c r="A88" s="3"/>
      <x:c r="B88" s="17" t="d">
        <x:v>2013-03-08T00:00:00.000Z</x:v>
      </x:c>
      <x:c r="C88" s="3" t="str">
        <x:v>2일 내 추가 학습</x:v>
      </x:c>
      <x:c r="D88" s="3" t="str">
        <x:v>습관 형성형</x:v>
      </x:c>
      <x:c r="E88" s="24" t="str">
        <x:v>최근 단발형</x:v>
      </x:c>
      <x:c r="F88" s="29" t="n">
        <x:v>4106</x:v>
      </x:c>
      <x:c r="G88" s="29" t="n">
        <x:v>2636</x:v>
      </x:c>
      <x:c r="H88" s="25" t="n">
        <x:v>0.47272284461763275</x:v>
      </x:c>
      <x:c r="I88" s="25" t="n">
        <x:v>0.38163884673748105</x:v>
      </x:c>
      <x:c r="J88" s="27" t="n">
        <x:f>(H88-I88)*100</x:f>
        <x:v>9.10839978801517</x:v>
      </x:c>
      <x:c r="K88" s="27" t="n">
        <x:v>6.695817694966327</x:v>
      </x:c>
      <x:c r="L88" s="27" t="n">
        <x:v>11.497634339549185</x:v>
      </x:c>
      <x:c r="M88" s="33" t="n">
        <x:v>1.4630229572100434e-11</x:v>
      </x:c>
      <x:c r="N88" s="24" t="str">
        <x:v>유의</x:v>
      </x:c>
      <x:c r="O88" s="33" t="n">
        <x:v>1.8756704579615957e-13</x:v>
      </x:c>
      <x:c r="P88" s="27" t="n">
        <x:v>-10.834748859034349</x:v>
      </x:c>
    </x:row>
    <x:row r="89" ht="24" customHeight="1">
      <x:c r="A89" s="3"/>
      <x:c r="B89" s="17" t="d">
        <x:v>2013-03-08T00:00:00.000Z</x:v>
      </x:c>
      <x:c r="C89" s="3" t="str">
        <x:v>2일 내 추가 학습</x:v>
      </x:c>
      <x:c r="D89" s="3" t="str">
        <x:v>습관 형성형</x:v>
      </x:c>
      <x:c r="E89" s="24" t="str">
        <x:v>멈춤-꾸준형</x:v>
      </x:c>
      <x:c r="F89" s="29" t="n">
        <x:v>4106</x:v>
      </x:c>
      <x:c r="G89" s="29" t="n">
        <x:v>732</x:v>
      </x:c>
      <x:c r="H89" s="25" t="n">
        <x:v>0.47272284461763275</x:v>
      </x:c>
      <x:c r="I89" s="25" t="n">
        <x:v>0.5601092896174863</x:v>
      </x:c>
      <x:c r="J89" s="27" t="n">
        <x:f>(H89-I89)*100</x:f>
        <x:v>-8.738644499985353</x:v>
      </x:c>
      <x:c r="K89" s="27" t="n">
        <x:v>-12.606656355061094</x:v>
      </x:c>
      <x:c r="L89" s="27" t="n">
        <x:v>-4.8108879963510205</x:v>
      </x:c>
      <x:c r="M89" s="33" t="n">
        <x:v>0.0006303026254543734</x:v>
      </x:c>
      <x:c r="N89" s="24" t="str">
        <x:v>유의</x:v>
      </x:c>
      <x:c r="O89" s="33" t="n">
        <x:v>0.000013131304696966116</x:v>
      </x:c>
      <x:c r="P89" s="27" t="n">
        <x:v>-3.2004508838660204</x:v>
      </x:c>
    </x:row>
    <x:row r="90" ht="24" customHeight="1">
      <x:c r="A90" s="3"/>
      <x:c r="B90" s="17" t="d">
        <x:v>2013-03-08T00:00:00.000Z</x:v>
      </x:c>
      <x:c r="C90" s="3" t="str">
        <x:v>2일 내 추가 학습</x:v>
      </x:c>
      <x:c r="D90" s="3" t="str">
        <x:v>습관 형성형</x:v>
      </x:c>
      <x:c r="E90" s="24" t="str">
        <x:v>멈춤-몰입형</x:v>
      </x:c>
      <x:c r="F90" s="29" t="n">
        <x:v>4106</x:v>
      </x:c>
      <x:c r="G90" s="29" t="n">
        <x:v>924</x:v>
      </x:c>
      <x:c r="H90" s="25" t="n">
        <x:v>0.47272284461763275</x:v>
      </x:c>
      <x:c r="I90" s="25" t="n">
        <x:v>0.3852813852813853</x:v>
      </x:c>
      <x:c r="J90" s="27" t="n">
        <x:f>(H90-I90)*100</x:f>
        <x:v>8.744145933624747</x:v>
      </x:c>
      <x:c r="K90" s="27" t="n">
        <x:v>5.218570558396539</x:v>
      </x:c>
      <x:c r="L90" s="27" t="n">
        <x:v>12.186567325878098</x:v>
      </x:c>
      <x:c r="M90" s="33" t="n">
        <x:v>0.00007423812573734347</x:v>
      </x:c>
      <x:c r="N90" s="24" t="str">
        <x:v>유의</x:v>
      </x:c>
      <x:c r="O90" s="33" t="n">
        <x:v>0.0000014276562641796824</x:v>
      </x:c>
      <x:c r="P90" s="27" t="n">
        <x:v>-4.129373001123844</x:v>
      </x:c>
    </x:row>
    <x:row r="91" ht="24" customHeight="1">
      <x:c r="A91" s="3"/>
      <x:c r="B91" s="17" t="d">
        <x:v>2013-03-08T00:00:00.000Z</x:v>
      </x:c>
      <x:c r="C91" s="3" t="str">
        <x:v>2일 내 추가 학습</x:v>
      </x:c>
      <x:c r="D91" s="3" t="str">
        <x:v>습관 형성형</x:v>
      </x:c>
      <x:c r="E91" s="24" t="str">
        <x:v>멈춤-저활동형</x:v>
      </x:c>
      <x:c r="F91" s="29" t="n">
        <x:v>4106</x:v>
      </x:c>
      <x:c r="G91" s="29" t="n">
        <x:v>1846</x:v>
      </x:c>
      <x:c r="H91" s="25" t="n">
        <x:v>0.47272284461763275</x:v>
      </x:c>
      <x:c r="I91" s="25" t="n">
        <x:v>0.3076923076923077</x:v>
      </x:c>
      <x:c r="J91" s="27" t="n">
        <x:f>(H91-I91)*100</x:f>
        <x:v>16.503053692532504</x:v>
      </x:c>
      <x:c r="K91" s="27" t="n">
        <x:v>13.873064501052063</x:v>
      </x:c>
      <x:c r="L91" s="27" t="n">
        <x:v>19.071394392245022</x:v>
      </x:c>
      <x:c r="M91" s="33" t="n">
        <x:v>8.815336569746452e-31</x:v>
      </x:c>
      <x:c r="N91" s="24" t="str">
        <x:v>유의</x:v>
      </x:c>
      <x:c r="O91" s="33" t="n">
        <x:v>8.642486833084738e-33</x:v>
      </x:c>
      <x:c r="P91" s="27" t="n">
        <x:v>-30.054761101675123</x:v>
      </x:c>
    </x:row>
    <x:row r="92" ht="24" customHeight="1">
      <x:c r="A92" s="3"/>
      <x:c r="B92" s="17" t="d">
        <x:v>2013-03-08T00:00:00.000Z</x:v>
      </x:c>
      <x:c r="C92" s="3" t="str">
        <x:v>2일 내 추가 학습</x:v>
      </x:c>
      <x:c r="D92" s="3" t="str">
        <x:v>최근 단발형</x:v>
      </x:c>
      <x:c r="E92" s="24" t="str">
        <x:v>멈춤-꾸준형</x:v>
      </x:c>
      <x:c r="F92" s="29" t="n">
        <x:v>2636</x:v>
      </x:c>
      <x:c r="G92" s="29" t="n">
        <x:v>732</x:v>
      </x:c>
      <x:c r="H92" s="25" t="n">
        <x:v>0.38163884673748105</x:v>
      </x:c>
      <x:c r="I92" s="25" t="n">
        <x:v>0.5601092896174863</x:v>
      </x:c>
      <x:c r="J92" s="27" t="n">
        <x:f>(H92-I92)*100</x:f>
        <x:v>-17.847044288000525</x:v>
      </x:c>
      <x:c r="K92" s="27" t="n">
        <x:v>-21.848338167978916</x:v>
      </x:c>
      <x:c r="L92" s="27" t="n">
        <x:v>-13.774180581927869</x:v>
      </x:c>
      <x:c r="M92" s="33" t="n">
        <x:v>4.3818138036276173e-16</x:v>
      </x:c>
      <x:c r="N92" s="24" t="str">
        <x:v>유의</x:v>
      </x:c>
      <x:c r="O92" s="33" t="n">
        <x:v>4.979333867758654e-18</x:v>
      </x:c>
      <x:c r="P92" s="27" t="n">
        <x:v>-15.35834608085453</x:v>
      </x:c>
    </x:row>
    <x:row r="93" ht="24" customHeight="1">
      <x:c r="A93" s="3"/>
      <x:c r="B93" s="17" t="d">
        <x:v>2013-03-08T00:00:00.000Z</x:v>
      </x:c>
      <x:c r="C93" s="3" t="str">
        <x:v>2일 내 추가 학습</x:v>
      </x:c>
      <x:c r="D93" s="3" t="str">
        <x:v>최근 단발형</x:v>
      </x:c>
      <x:c r="E93" s="24" t="str">
        <x:v>멈춤-몰입형</x:v>
      </x:c>
      <x:c r="F93" s="29" t="n">
        <x:v>2636</x:v>
      </x:c>
      <x:c r="G93" s="29" t="n">
        <x:v>924</x:v>
      </x:c>
      <x:c r="H93" s="25" t="n">
        <x:v>0.38163884673748105</x:v>
      </x:c>
      <x:c r="I93" s="25" t="n">
        <x:v>0.3852813852813853</x:v>
      </x:c>
      <x:c r="J93" s="27" t="n">
        <x:f>(H93-I93)*100</x:f>
        <x:v>-0.3642538543904228</x:v>
      </x:c>
      <x:c r="K93" s="27" t="n">
        <x:v>-4.0355640741024</x:v>
      </x:c>
      <x:c r="L93" s="27" t="n">
        <x:v>3.2428520018668574</x:v>
      </x:c>
      <x:c r="M93" s="33" t="n">
        <x:v>1</x:v>
      </x:c>
      <x:c r="N93" s="24" t="str">
        <x:v>유의하지 않음</x:v>
      </x:c>
      <x:c r="O93" s="33" t="n">
        <x:v>0.8445821253300048</x:v>
      </x:c>
      <x:c r="P93" s="27" t="n">
        <x:v>0</x:v>
      </x:c>
    </x:row>
    <x:row r="94" ht="24" customHeight="1">
      <x:c r="A94" s="3"/>
      <x:c r="B94" s="17" t="d">
        <x:v>2013-03-08T00:00:00.000Z</x:v>
      </x:c>
      <x:c r="C94" s="3" t="str">
        <x:v>2일 내 추가 학습</x:v>
      </x:c>
      <x:c r="D94" s="3" t="str">
        <x:v>최근 단발형</x:v>
      </x:c>
      <x:c r="E94" s="24" t="str">
        <x:v>멈춤-저활동형</x:v>
      </x:c>
      <x:c r="F94" s="29" t="n">
        <x:v>2636</x:v>
      </x:c>
      <x:c r="G94" s="29" t="n">
        <x:v>1846</x:v>
      </x:c>
      <x:c r="H94" s="25" t="n">
        <x:v>0.38163884673748105</x:v>
      </x:c>
      <x:c r="I94" s="25" t="n">
        <x:v>0.3076923076923077</x:v>
      </x:c>
      <x:c r="J94" s="27" t="n">
        <x:f>(H94-I94)*100</x:f>
        <x:v>7.394653904517334</x:v>
      </x:c>
      <x:c r="K94" s="27" t="n">
        <x:v>4.5723002501625105</x:v>
      </x:c>
      <x:c r="L94" s="27" t="n">
        <x:v>10.179850767613704</x:v>
      </x:c>
      <x:c r="M94" s="33" t="n">
        <x:v>0.000018917479785354633</x:v>
      </x:c>
      <x:c r="N94" s="24" t="str">
        <x:v>유의</x:v>
      </x:c>
      <x:c r="O94" s="33" t="n">
        <x:v>3.3188561026937977e-7</x:v>
      </x:c>
      <x:c r="P94" s="27" t="n">
        <x:v>-4.723136721434064</x:v>
      </x:c>
    </x:row>
    <x:row r="95" ht="24" customHeight="1">
      <x:c r="A95" s="3"/>
      <x:c r="B95" s="17" t="d">
        <x:v>2013-03-08T00:00:00.000Z</x:v>
      </x:c>
      <x:c r="C95" s="3" t="str">
        <x:v>2일 내 추가 학습</x:v>
      </x:c>
      <x:c r="D95" s="3" t="str">
        <x:v>멈춤-꾸준형</x:v>
      </x:c>
      <x:c r="E95" s="24" t="str">
        <x:v>멈춤-몰입형</x:v>
      </x:c>
      <x:c r="F95" s="29" t="n">
        <x:v>732</x:v>
      </x:c>
      <x:c r="G95" s="29" t="n">
        <x:v>924</x:v>
      </x:c>
      <x:c r="H95" s="25" t="n">
        <x:v>0.5601092896174863</x:v>
      </x:c>
      <x:c r="I95" s="25" t="n">
        <x:v>0.3852813852813853</x:v>
      </x:c>
      <x:c r="J95" s="27" t="n">
        <x:f>(H95-I95)*100</x:f>
        <x:v>17.482790433610102</x:v>
      </x:c>
      <x:c r="K95" s="27" t="n">
        <x:v>12.666427891300868</x:v>
      </x:c>
      <x:c r="L95" s="27" t="n">
        <x:v>22.189400255291954</x:v>
      </x:c>
      <x:c r="M95" s="33" t="n">
        <x:v>1.0464279603899744e-10</x:v>
      </x:c>
      <x:c r="N95" s="24" t="str">
        <x:v>유의</x:v>
      </x:c>
      <x:c r="O95" s="33" t="n">
        <x:v>1.3768788952499687e-12</x:v>
      </x:c>
      <x:c r="P95" s="27" t="n">
        <x:v>-9.980290664584748</x:v>
      </x:c>
    </x:row>
    <x:row r="96" ht="24" customHeight="1">
      <x:c r="A96" s="3"/>
      <x:c r="B96" s="17" t="d">
        <x:v>2013-03-08T00:00:00.000Z</x:v>
      </x:c>
      <x:c r="C96" s="3" t="str">
        <x:v>2일 내 추가 학습</x:v>
      </x:c>
      <x:c r="D96" s="3" t="str">
        <x:v>멈춤-꾸준형</x:v>
      </x:c>
      <x:c r="E96" s="24" t="str">
        <x:v>멈춤-저활동형</x:v>
      </x:c>
      <x:c r="F96" s="29" t="n">
        <x:v>732</x:v>
      </x:c>
      <x:c r="G96" s="29" t="n">
        <x:v>1846</x:v>
      </x:c>
      <x:c r="H96" s="25" t="n">
        <x:v>0.5601092896174863</x:v>
      </x:c>
      <x:c r="I96" s="25" t="n">
        <x:v>0.3076923076923077</x:v>
      </x:c>
      <x:c r="J96" s="27" t="n">
        <x:f>(H96-I96)*100</x:f>
        <x:v>25.24169819251786</x:v>
      </x:c>
      <x:c r="K96" s="27" t="n">
        <x:v>21.036402773662257</x:v>
      </x:c>
      <x:c r="L96" s="27" t="n">
        <x:v>29.352450547198007</x:v>
      </x:c>
      <x:c r="M96" s="33" t="n">
        <x:v>1.0636809348030142e-30</x:v>
      </x:c>
      <x:c r="N96" s="24" t="str">
        <x:v>유의</x:v>
      </x:c>
      <x:c r="O96" s="33" t="n">
        <x:v>1.0531494403990246e-32</x:v>
      </x:c>
      <x:c r="P96" s="27" t="n">
        <x:v>-29.973188624893442</x:v>
      </x:c>
    </x:row>
    <x:row r="97" ht="24" customHeight="1">
      <x:c r="A97" s="3"/>
      <x:c r="B97" s="17" t="d">
        <x:v>2013-03-08T00:00:00.000Z</x:v>
      </x:c>
      <x:c r="C97" s="3" t="str">
        <x:v>2일 내 추가 학습</x:v>
      </x:c>
      <x:c r="D97" s="3" t="str">
        <x:v>멈춤-몰입형</x:v>
      </x:c>
      <x:c r="E97" s="24" t="str">
        <x:v>멈춤-저활동형</x:v>
      </x:c>
      <x:c r="F97" s="29" t="n">
        <x:v>924</x:v>
      </x:c>
      <x:c r="G97" s="29" t="n">
        <x:v>1846</x:v>
      </x:c>
      <x:c r="H97" s="25" t="n">
        <x:v>0.3852813852813853</x:v>
      </x:c>
      <x:c r="I97" s="25" t="n">
        <x:v>0.3076923076923077</x:v>
      </x:c>
      <x:c r="J97" s="27" t="n">
        <x:f>(H97-I97)*100</x:f>
        <x:v>7.758907758907757</x:v>
      </x:c>
      <x:c r="K97" s="27" t="n">
        <x:v>4.002912091997373</x:v>
      </x:c>
      <x:c r="L97" s="27" t="n">
        <x:v>11.549217896207534</x:v>
      </x:c>
      <x:c r="M97" s="33" t="n">
        <x:v>0.0019069734677349098</x:v>
      </x:c>
      <x:c r="N97" s="24" t="str">
        <x:v>유의</x:v>
      </x:c>
      <x:c r="O97" s="33" t="n">
        <x:v>0.00004434822017988165</x:v>
      </x:c>
      <x:c r="P97" s="27" t="n">
        <x:v>-2.719655349374802</x:v>
      </x:c>
    </x:row>
    <x:row r="98" ht="24" customHeight="1">
      <x:c r="A98" s="3"/>
      <x:c r="B98" s="17" t="d">
        <x:v>2013-03-09T00:00:00.000Z</x:v>
      </x:c>
      <x:c r="C98" s="3" t="str">
        <x:v>D+1 학습</x:v>
      </x:c>
      <x:c r="D98" s="3" t="str">
        <x:v>꾸준형</x:v>
      </x:c>
      <x:c r="E98" s="24" t="str">
        <x:v>습관 형성형</x:v>
      </x:c>
      <x:c r="F98" s="29" t="n">
        <x:v>1295</x:v>
      </x:c>
      <x:c r="G98" s="29" t="n">
        <x:v>1573</x:v>
      </x:c>
      <x:c r="H98" s="25" t="n">
        <x:v>0.49034749034749037</x:v>
      </x:c>
      <x:c r="I98" s="25" t="n">
        <x:v>0.3178639542275906</x:v>
      </x:c>
      <x:c r="J98" s="27" t="n">
        <x:f>(H98-I98)*100</x:f>
        <x:v>17.248353611989977</x:v>
      </x:c>
      <x:c r="K98" s="27" t="n">
        <x:v>13.661439691924054</x:v>
      </x:c>
      <x:c r="L98" s="27" t="n">
        <x:v>20.782331783130402</x:v>
      </x:c>
      <x:c r="M98" s="33" t="n">
        <x:v>4.953608446571533e-19</x:v>
      </x:c>
      <x:c r="N98" s="24" t="str">
        <x:v>유의</x:v>
      </x:c>
      <x:c r="O98" s="33" t="n">
        <x:v>5.4435257654632155e-21</x:v>
      </x:c>
      <x:c r="P98" s="27" t="n">
        <x:v>-18.30507832480183</x:v>
      </x:c>
    </x:row>
    <x:row r="99" ht="24" customHeight="1">
      <x:c r="A99" s="3"/>
      <x:c r="B99" s="17" t="d">
        <x:v>2013-03-09T00:00:00.000Z</x:v>
      </x:c>
      <x:c r="C99" s="3" t="str">
        <x:v>D+1 학습</x:v>
      </x:c>
      <x:c r="D99" s="3" t="str">
        <x:v>꾸준형</x:v>
      </x:c>
      <x:c r="E99" s="24" t="str">
        <x:v>최근 단발형</x:v>
      </x:c>
      <x:c r="F99" s="29" t="n">
        <x:v>1295</x:v>
      </x:c>
      <x:c r="G99" s="29" t="n">
        <x:v>1041</x:v>
      </x:c>
      <x:c r="H99" s="25" t="n">
        <x:v>0.49034749034749037</x:v>
      </x:c>
      <x:c r="I99" s="25" t="n">
        <x:v>0.2372718539865514</x:v>
      </x:c>
      <x:c r="J99" s="27" t="n">
        <x:f>(H99-I99)*100</x:f>
        <x:v>25.3075636360939</x:v>
      </x:c>
      <x:c r="K99" s="27" t="n">
        <x:v>21.493541857752533</x:v>
      </x:c>
      <x:c r="L99" s="27" t="n">
        <x:v>28.992730899726592</x:v>
      </x:c>
      <x:c r="M99" s="33" t="n">
        <x:v>4.6343359483970106e-34</x:v>
      </x:c>
      <x:c r="N99" s="24" t="str">
        <x:v>유의</x:v>
      </x:c>
      <x:c r="O99" s="33" t="n">
        <x:v>4.456092258074057e-36</x:v>
      </x:c>
      <x:c r="P99" s="27" t="n">
        <x:v>-33.33401248689333</x:v>
      </x:c>
    </x:row>
    <x:row r="100" ht="24" customHeight="1">
      <x:c r="A100" s="3"/>
      <x:c r="B100" s="17" t="d">
        <x:v>2013-03-09T00:00:00.000Z</x:v>
      </x:c>
      <x:c r="C100" s="3" t="str">
        <x:v>D+1 학습</x:v>
      </x:c>
      <x:c r="D100" s="3" t="str">
        <x:v>꾸준형</x:v>
      </x:c>
      <x:c r="E100" s="24" t="str">
        <x:v>멈춤-꾸준형</x:v>
      </x:c>
      <x:c r="F100" s="29" t="n">
        <x:v>1295</x:v>
      </x:c>
      <x:c r="G100" s="29" t="n">
        <x:v>426</x:v>
      </x:c>
      <x:c r="H100" s="25" t="n">
        <x:v>0.49034749034749037</x:v>
      </x:c>
      <x:c r="I100" s="25" t="n">
        <x:v>0.3685446009389671</x:v>
      </x:c>
      <x:c r="J100" s="27" t="n">
        <x:f>(H100-I100)*100</x:f>
        <x:v>12.180288940852325</x:v>
      </x:c>
      <x:c r="K100" s="27" t="n">
        <x:v>6.769817916771697</x:v>
      </x:c>
      <x:c r="L100" s="27" t="n">
        <x:v>17.391858768824402</x:v>
      </x:c>
      <x:c r="M100" s="33" t="n">
        <x:v>0.0005939427360045036</x:v>
      </x:c>
      <x:c r="N100" s="24" t="str">
        <x:v>유의</x:v>
      </x:c>
      <x:c r="O100" s="33" t="n">
        <x:v>0.000012121280326622519</x:v>
      </x:c>
      <x:c r="P100" s="27" t="n">
        <x:v>-3.226255424776533</x:v>
      </x:c>
    </x:row>
    <x:row r="101" ht="24" customHeight="1">
      <x:c r="A101" s="3"/>
      <x:c r="B101" s="17" t="d">
        <x:v>2013-03-09T00:00:00.000Z</x:v>
      </x:c>
      <x:c r="C101" s="3" t="str">
        <x:v>D+1 학습</x:v>
      </x:c>
      <x:c r="D101" s="3" t="str">
        <x:v>꾸준형</x:v>
      </x:c>
      <x:c r="E101" s="24" t="str">
        <x:v>멈춤-몰입형</x:v>
      </x:c>
      <x:c r="F101" s="29" t="n">
        <x:v>1295</x:v>
      </x:c>
      <x:c r="G101" s="29" t="n">
        <x:v>602</x:v>
      </x:c>
      <x:c r="H101" s="25" t="n">
        <x:v>0.49034749034749037</x:v>
      </x:c>
      <x:c r="I101" s="25" t="n">
        <x:v>0.2956810631229236</x:v>
      </x:c>
      <x:c r="J101" s="27" t="n">
        <x:f>(H101-I101)*100</x:f>
        <x:v>19.46664272245668</x:v>
      </x:c>
      <x:c r="K101" s="27" t="n">
        <x:v>14.823776687123408</x:v>
      </x:c>
      <x:c r="L101" s="27" t="n">
        <x:v>23.905444954687955</x:v>
      </x:c>
      <x:c r="M101" s="33" t="n">
        <x:v>1.3015592095600198e-13</x:v>
      </x:c>
      <x:c r="N101" s="24" t="str">
        <x:v>유의</x:v>
      </x:c>
      <x:c r="O101" s="33" t="n">
        <x:v>1.5312461288941433e-15</x:v>
      </x:c>
      <x:c r="P101" s="27" t="n">
        <x:v>-12.88553607050496</x:v>
      </x:c>
    </x:row>
    <x:row r="102" ht="24" customHeight="1">
      <x:c r="A102" s="3"/>
      <x:c r="B102" s="17" t="d">
        <x:v>2013-03-09T00:00:00.000Z</x:v>
      </x:c>
      <x:c r="C102" s="3" t="str">
        <x:v>D+1 학습</x:v>
      </x:c>
      <x:c r="D102" s="3" t="str">
        <x:v>꾸준형</x:v>
      </x:c>
      <x:c r="E102" s="24" t="str">
        <x:v>멈춤-저활동형</x:v>
      </x:c>
      <x:c r="F102" s="29" t="n">
        <x:v>1295</x:v>
      </x:c>
      <x:c r="G102" s="29" t="n">
        <x:v>1304</x:v>
      </x:c>
      <x:c r="H102" s="25" t="n">
        <x:v>0.49034749034749037</x:v>
      </x:c>
      <x:c r="I102" s="25" t="n">
        <x:v>0.2607361963190184</x:v>
      </x:c>
      <x:c r="J102" s="27" t="n">
        <x:f>(H102-I102)*100</x:f>
        <x:v>22.961129402847195</x:v>
      </x:c>
      <x:c r="K102" s="27" t="n">
        <x:v>19.30300867083541</x:v>
      </x:c>
      <x:c r="L102" s="27" t="n">
        <x:v>26.530964126229417</x:v>
      </x:c>
      <x:c r="M102" s="33" t="n">
        <x:v>1.2503023989564705e-31</x:v>
      </x:c>
      <x:c r="N102" s="24" t="str">
        <x:v>유의</x:v>
      </x:c>
      <x:c r="O102" s="33" t="n">
        <x:v>1.2138858242295786e-33</x:v>
      </x:c>
      <x:c r="P102" s="27" t="n">
        <x:v>-30.902984935539905</x:v>
      </x:c>
    </x:row>
    <x:row r="103" ht="24" customHeight="1">
      <x:c r="A103" s="3"/>
      <x:c r="B103" s="17" t="d">
        <x:v>2013-03-09T00:00:00.000Z</x:v>
      </x:c>
      <x:c r="C103" s="3" t="str">
        <x:v>D+1 학습</x:v>
      </x:c>
      <x:c r="D103" s="3" t="str">
        <x:v>습관 형성형</x:v>
      </x:c>
      <x:c r="E103" s="24" t="str">
        <x:v>최근 단발형</x:v>
      </x:c>
      <x:c r="F103" s="29" t="n">
        <x:v>1573</x:v>
      </x:c>
      <x:c r="G103" s="29" t="n">
        <x:v>1041</x:v>
      </x:c>
      <x:c r="H103" s="25" t="n">
        <x:v>0.3178639542275906</x:v>
      </x:c>
      <x:c r="I103" s="25" t="n">
        <x:v>0.2372718539865514</x:v>
      </x:c>
      <x:c r="J103" s="27" t="n">
        <x:f>(H103-I103)*100</x:f>
        <x:v>8.05921002410392</x:v>
      </x:c>
      <x:c r="K103" s="27" t="n">
        <x:v>4.558749767659249</x:v>
      </x:c>
      <x:c r="L103" s="27" t="n">
        <x:v>11.47445048388156</x:v>
      </x:c>
      <x:c r="M103" s="33" t="n">
        <x:v>0.0004007078587394729</x:v>
      </x:c>
      <x:c r="N103" s="24" t="str">
        <x:v>유의</x:v>
      </x:c>
      <x:c r="O103" s="33" t="n">
        <x:v>0.000008014157174789454</x:v>
      </x:c>
      <x:c r="P103" s="27" t="n">
        <x:v>-3.3971721400386765</x:v>
      </x:c>
    </x:row>
    <x:row r="104" ht="24" customHeight="1">
      <x:c r="A104" s="3"/>
      <x:c r="B104" s="17" t="d">
        <x:v>2013-03-09T00:00:00.000Z</x:v>
      </x:c>
      <x:c r="C104" s="3" t="str">
        <x:v>D+1 학습</x:v>
      </x:c>
      <x:c r="D104" s="3" t="str">
        <x:v>습관 형성형</x:v>
      </x:c>
      <x:c r="E104" s="24" t="str">
        <x:v>멈춤-꾸준형</x:v>
      </x:c>
      <x:c r="F104" s="29" t="n">
        <x:v>1573</x:v>
      </x:c>
      <x:c r="G104" s="29" t="n">
        <x:v>426</x:v>
      </x:c>
      <x:c r="H104" s="25" t="n">
        <x:v>0.3178639542275906</x:v>
      </x:c>
      <x:c r="I104" s="25" t="n">
        <x:v>0.3685446009389671</x:v>
      </x:c>
      <x:c r="J104" s="27" t="n">
        <x:f>(H104-I104)*100</x:f>
        <x:v>-5.068064671137651</x:v>
      </x:c>
      <x:c r="K104" s="27" t="n">
        <x:v>-10.26225917882626</x:v>
      </x:c>
      <x:c r="L104" s="27" t="n">
        <x:v>-0.043736884360496414</x:v>
      </x:c>
      <x:c r="M104" s="33" t="n">
        <x:v>0.8197545745616178</x:v>
      </x:c>
      <x:c r="N104" s="24" t="str">
        <x:v>유의하지 않음</x:v>
      </x:c>
      <x:c r="O104" s="33" t="n">
        <x:v>0.04822085732715399</x:v>
      </x:c>
      <x:c r="P104" s="27" t="n">
        <x:v>-0.08631615111321814</x:v>
      </x:c>
    </x:row>
    <x:row r="105" ht="24" customHeight="1">
      <x:c r="A105" s="3"/>
      <x:c r="B105" s="17" t="d">
        <x:v>2013-03-09T00:00:00.000Z</x:v>
      </x:c>
      <x:c r="C105" s="3" t="str">
        <x:v>D+1 학습</x:v>
      </x:c>
      <x:c r="D105" s="3" t="str">
        <x:v>습관 형성형</x:v>
      </x:c>
      <x:c r="E105" s="24" t="str">
        <x:v>멈춤-몰입형</x:v>
      </x:c>
      <x:c r="F105" s="29" t="n">
        <x:v>1573</x:v>
      </x:c>
      <x:c r="G105" s="29" t="n">
        <x:v>602</x:v>
      </x:c>
      <x:c r="H105" s="25" t="n">
        <x:v>0.3178639542275906</x:v>
      </x:c>
      <x:c r="I105" s="25" t="n">
        <x:v>0.2956810631229236</x:v>
      </x:c>
      <x:c r="J105" s="27" t="n">
        <x:f>(H105-I105)*100</x:f>
        <x:v>2.2182891104667037</x:v>
      </x:c>
      <x:c r="K105" s="27" t="n">
        <x:v>-2.170636145599722</x:v>
      </x:c>
      <x:c r="L105" s="27" t="n">
        <x:v>6.435678693373817</x:v>
      </x:c>
      <x:c r="M105" s="33" t="n">
        <x:v>1</x:v>
      </x:c>
      <x:c r="N105" s="24" t="str">
        <x:v>유의하지 않음</x:v>
      </x:c>
      <x:c r="O105" s="33" t="n">
        <x:v>0.3176619211194949</x:v>
      </x:c>
      <x:c r="P105" s="27" t="n">
        <x:v>0</x:v>
      </x:c>
    </x:row>
    <x:row r="106" ht="24" customHeight="1">
      <x:c r="A106" s="3"/>
      <x:c r="B106" s="17" t="d">
        <x:v>2013-03-09T00:00:00.000Z</x:v>
      </x:c>
      <x:c r="C106" s="3" t="str">
        <x:v>D+1 학습</x:v>
      </x:c>
      <x:c r="D106" s="3" t="str">
        <x:v>습관 형성형</x:v>
      </x:c>
      <x:c r="E106" s="24" t="str">
        <x:v>멈춤-저활동형</x:v>
      </x:c>
      <x:c r="F106" s="29" t="n">
        <x:v>1573</x:v>
      </x:c>
      <x:c r="G106" s="29" t="n">
        <x:v>1304</x:v>
      </x:c>
      <x:c r="H106" s="25" t="n">
        <x:v>0.3178639542275906</x:v>
      </x:c>
      <x:c r="I106" s="25" t="n">
        <x:v>0.2607361963190184</x:v>
      </x:c>
      <x:c r="J106" s="27" t="n">
        <x:f>(H106-I106)*100</x:f>
        <x:v>5.712775790857222</x:v>
      </x:c>
      <x:c r="K106" s="27" t="n">
        <x:v>2.3828648053711348</x:v>
      </x:c>
      <x:c r="L106" s="27" t="n">
        <x:v>9.003236182568006</x:v>
      </x:c>
      <x:c r="M106" s="33" t="n">
        <x:v>0.027336420813583163</x:v>
      </x:c>
      <x:c r="N106" s="24" t="str">
        <x:v>유의</x:v>
      </x:c>
      <x:c r="O106" s="33" t="n">
        <x:v>0.0007938141873975212</x:v>
      </x:c>
      <x:c r="P106" s="27" t="n">
        <x:v>-1.563258348680672</x:v>
      </x:c>
    </x:row>
    <x:row r="107" ht="24" customHeight="1">
      <x:c r="A107" s="3"/>
      <x:c r="B107" s="17" t="d">
        <x:v>2013-03-09T00:00:00.000Z</x:v>
      </x:c>
      <x:c r="C107" s="3" t="str">
        <x:v>D+1 학습</x:v>
      </x:c>
      <x:c r="D107" s="3" t="str">
        <x:v>최근 단발형</x:v>
      </x:c>
      <x:c r="E107" s="24" t="str">
        <x:v>멈춤-꾸준형</x:v>
      </x:c>
      <x:c r="F107" s="29" t="n">
        <x:v>1041</x:v>
      </x:c>
      <x:c r="G107" s="29" t="n">
        <x:v>426</x:v>
      </x:c>
      <x:c r="H107" s="25" t="n">
        <x:v>0.2372718539865514</x:v>
      </x:c>
      <x:c r="I107" s="25" t="n">
        <x:v>0.3685446009389671</x:v>
      </x:c>
      <x:c r="J107" s="27" t="n">
        <x:f>(H107-I107)*100</x:f>
        <x:v>-13.127274695241573</x:v>
      </x:c>
      <x:c r="K107" s="27" t="n">
        <x:v>-18.425492568315082</x:v>
      </x:c>
      <x:c r="L107" s="27" t="n">
        <x:v>-7.9383749694152375</x:v>
      </x:c>
      <x:c r="M107" s="33" t="n">
        <x:v>0.000018753308962720593</x:v>
      </x:c>
      <x:c r="N107" s="24" t="str">
        <x:v>유의</x:v>
      </x:c>
      <x:c r="O107" s="33" t="n">
        <x:v>3.233329131503554e-7</x:v>
      </x:c>
      <x:c r="P107" s="27" t="n">
        <x:v>-4.726922091271719</x:v>
      </x:c>
    </x:row>
    <x:row r="108" ht="24" customHeight="1">
      <x:c r="A108" s="3"/>
      <x:c r="B108" s="17" t="d">
        <x:v>2013-03-09T00:00:00.000Z</x:v>
      </x:c>
      <x:c r="C108" s="3" t="str">
        <x:v>D+1 학습</x:v>
      </x:c>
      <x:c r="D108" s="3" t="str">
        <x:v>최근 단발형</x:v>
      </x:c>
      <x:c r="E108" s="24" t="str">
        <x:v>멈춤-몰입형</x:v>
      </x:c>
      <x:c r="F108" s="29" t="n">
        <x:v>1041</x:v>
      </x:c>
      <x:c r="G108" s="29" t="n">
        <x:v>602</x:v>
      </x:c>
      <x:c r="H108" s="25" t="n">
        <x:v>0.2372718539865514</x:v>
      </x:c>
      <x:c r="I108" s="25" t="n">
        <x:v>0.2956810631229236</x:v>
      </x:c>
      <x:c r="J108" s="27" t="n">
        <x:f>(H108-I108)*100</x:f>
        <x:v>-5.840920913637218</x:v>
      </x:c>
      <x:c r="K108" s="27" t="n">
        <x:v>-10.352475074920312</x:v>
      </x:c>
      <x:c r="L108" s="27" t="n">
        <x:v>-1.428757549740431</x:v>
      </x:c>
      <x:c r="M108" s="33" t="n">
        <x:v>0.22050640294621346</x:v>
      </x:c>
      <x:c r="N108" s="24" t="str">
        <x:v>유의하지 않음</x:v>
      </x:c>
      <x:c r="O108" s="33" t="n">
        <x:v>0.00918776678942556</x:v>
      </x:c>
      <x:c r="P108" s="27" t="n">
        <x:v>-0.6565787952036942</x:v>
      </x:c>
    </x:row>
    <x:row r="109" ht="24" customHeight="1">
      <x:c r="A109" s="3"/>
      <x:c r="B109" s="17" t="d">
        <x:v>2013-03-09T00:00:00.000Z</x:v>
      </x:c>
      <x:c r="C109" s="3" t="str">
        <x:v>D+1 학습</x:v>
      </x:c>
      <x:c r="D109" s="3" t="str">
        <x:v>최근 단발형</x:v>
      </x:c>
      <x:c r="E109" s="24" t="str">
        <x:v>멈춤-저활동형</x:v>
      </x:c>
      <x:c r="F109" s="29" t="n">
        <x:v>1041</x:v>
      </x:c>
      <x:c r="G109" s="29" t="n">
        <x:v>1304</x:v>
      </x:c>
      <x:c r="H109" s="25" t="n">
        <x:v>0.2372718539865514</x:v>
      </x:c>
      <x:c r="I109" s="25" t="n">
        <x:v>0.2607361963190184</x:v>
      </x:c>
      <x:c r="J109" s="27" t="n">
        <x:f>(H109-I109)*100</x:f>
        <x:v>-2.3464342332466996</x:v>
      </x:c>
      <x:c r="K109" s="27" t="n">
        <x:v>-5.836385983359295</x:v>
      </x:c>
      <x:c r="L109" s="27" t="n">
        <x:v>1.1902224146507288</x:v>
      </x:c>
      <x:c r="M109" s="33" t="n">
        <x:v>1</x:v>
      </x:c>
      <x:c r="N109" s="24" t="str">
        <x:v>유의하지 않음</x:v>
      </x:c>
      <x:c r="O109" s="33" t="n">
        <x:v>0.19250197059784377</x:v>
      </x:c>
      <x:c r="P109" s="27" t="n">
        <x:v>0</x:v>
      </x:c>
    </x:row>
    <x:row r="110" ht="24" customHeight="1">
      <x:c r="A110" s="3"/>
      <x:c r="B110" s="17" t="d">
        <x:v>2013-03-09T00:00:00.000Z</x:v>
      </x:c>
      <x:c r="C110" s="3" t="str">
        <x:v>D+1 학습</x:v>
      </x:c>
      <x:c r="D110" s="3" t="str">
        <x:v>멈춤-꾸준형</x:v>
      </x:c>
      <x:c r="E110" s="24" t="str">
        <x:v>멈춤-몰입형</x:v>
      </x:c>
      <x:c r="F110" s="29" t="n">
        <x:v>426</x:v>
      </x:c>
      <x:c r="G110" s="29" t="n">
        <x:v>602</x:v>
      </x:c>
      <x:c r="H110" s="25" t="n">
        <x:v>0.3685446009389671</x:v>
      </x:c>
      <x:c r="I110" s="25" t="n">
        <x:v>0.2956810631229236</x:v>
      </x:c>
      <x:c r="J110" s="27" t="n">
        <x:f>(H110-I110)*100</x:f>
        <x:v>7.286353781604355</x:v>
      </x:c>
      <x:c r="K110" s="27" t="n">
        <x:v>1.46105350942356</x:v>
      </x:c>
      <x:c r="L110" s="27" t="n">
        <x:v>13.133884895370814</x:v>
      </x:c>
      <x:c r="M110" s="33" t="n">
        <x:v>0.30960827569420446</x:v>
      </x:c>
      <x:c r="N110" s="24" t="str">
        <x:v>유의하지 않음</x:v>
      </x:c>
      <x:c r="O110" s="33" t="n">
        <x:v>0.014073103440645654</x:v>
      </x:c>
      <x:c r="P110" s="27" t="n">
        <x:v>-0.5091874393318702</x:v>
      </x:c>
    </x:row>
    <x:row r="111" ht="24" customHeight="1">
      <x:c r="A111" s="3"/>
      <x:c r="B111" s="17" t="d">
        <x:v>2013-03-09T00:00:00.000Z</x:v>
      </x:c>
      <x:c r="C111" s="3" t="str">
        <x:v>D+1 학습</x:v>
      </x:c>
      <x:c r="D111" s="3" t="str">
        <x:v>멈춤-꾸준형</x:v>
      </x:c>
      <x:c r="E111" s="24" t="str">
        <x:v>멈춤-저활동형</x:v>
      </x:c>
      <x:c r="F111" s="29" t="n">
        <x:v>426</x:v>
      </x:c>
      <x:c r="G111" s="29" t="n">
        <x:v>1304</x:v>
      </x:c>
      <x:c r="H111" s="25" t="n">
        <x:v>0.3685446009389671</x:v>
      </x:c>
      <x:c r="I111" s="25" t="n">
        <x:v>0.2607361963190184</x:v>
      </x:c>
      <x:c r="J111" s="27" t="n">
        <x:f>(H111-I111)*100</x:f>
        <x:v>10.780840461994872</x:v>
      </x:c>
      <x:c r="K111" s="27" t="n">
        <x:v>5.705432544497716</x:v>
      </x:c>
      <x:c r="L111" s="27" t="n">
        <x:v>15.99949688121533</x:v>
      </x:c>
      <x:c r="M111" s="33" t="n">
        <x:v>0.00090188828696017</x:v>
      </x:c>
      <x:c r="N111" s="24" t="str">
        <x:v>유의</x:v>
      </x:c>
      <x:c r="O111" s="33" t="n">
        <x:v>0.000019606267107829783</x:v>
      </x:c>
      <x:c r="P111" s="27" t="n">
        <x:v>-3.0448472533243414</x:v>
      </x:c>
    </x:row>
    <x:row r="112" ht="24" customHeight="1">
      <x:c r="A112" s="3"/>
      <x:c r="B112" s="17" t="d">
        <x:v>2013-03-09T00:00:00.000Z</x:v>
      </x:c>
      <x:c r="C112" s="3" t="str">
        <x:v>D+1 학습</x:v>
      </x:c>
      <x:c r="D112" s="3" t="str">
        <x:v>멈춤-몰입형</x:v>
      </x:c>
      <x:c r="E112" s="24" t="str">
        <x:v>멈춤-저활동형</x:v>
      </x:c>
      <x:c r="F112" s="29" t="n">
        <x:v>602</x:v>
      </x:c>
      <x:c r="G112" s="29" t="n">
        <x:v>1304</x:v>
      </x:c>
      <x:c r="H112" s="25" t="n">
        <x:v>0.2956810631229236</x:v>
      </x:c>
      <x:c r="I112" s="25" t="n">
        <x:v>0.2607361963190184</x:v>
      </x:c>
      <x:c r="J112" s="27" t="n">
        <x:f>(H112-I112)*100</x:f>
        <x:v>3.4944866803905184</x:v>
      </x:c>
      <x:c r="K112" s="27" t="n">
        <x:v>-0.7836286422749688</x:v>
      </x:c>
      <x:c r="L112" s="27" t="n">
        <x:v>7.912334928294254</x:v>
      </x:c>
      <x:c r="M112" s="33" t="n">
        <x:v>1</x:v>
      </x:c>
      <x:c r="N112" s="24" t="str">
        <x:v>유의하지 않음</x:v>
      </x:c>
      <x:c r="O112" s="33" t="n">
        <x:v>0.1109081281986384</x:v>
      </x:c>
      <x:c r="P112" s="27" t="n">
        <x:v>0</x:v>
      </x:c>
    </x:row>
    <x:row r="113" ht="24" customHeight="1">
      <x:c r="A113" s="3"/>
      <x:c r="B113" s="17" t="d">
        <x:v>2013-03-09T00:00:00.000Z</x:v>
      </x:c>
      <x:c r="C113" s="3" t="str">
        <x:v>D+2 학습</x:v>
      </x:c>
      <x:c r="D113" s="3" t="str">
        <x:v>꾸준형</x:v>
      </x:c>
      <x:c r="E113" s="24" t="str">
        <x:v>습관 형성형</x:v>
      </x:c>
      <x:c r="F113" s="29" t="n">
        <x:v>1295</x:v>
      </x:c>
      <x:c r="G113" s="29" t="n">
        <x:v>1573</x:v>
      </x:c>
      <x:c r="H113" s="25" t="n">
        <x:v>0.4664092664092664</x:v>
      </x:c>
      <x:c r="I113" s="25" t="n">
        <x:v>0.29624920534011445</x:v>
      </x:c>
      <x:c r="J113" s="27" t="n">
        <x:f>(H113-I113)*100</x:f>
        <x:v>17.016006106915192</x:v>
      </x:c>
      <x:c r="K113" s="27" t="n">
        <x:v>13.464286307288486</x:v>
      </x:c>
      <x:c r="L113" s="27" t="n">
        <x:v>20.519569256043813</x:v>
      </x:c>
      <x:c r="M113" s="33" t="n">
        <x:v>6.114135989305292e-19</x:v>
      </x:c>
      <x:c r="N113" s="24" t="str">
        <x:v>유의</x:v>
      </x:c>
      <x:c r="O113" s="33" t="n">
        <x:v>6.793484432561436e-21</x:v>
      </x:c>
      <x:c r="P113" s="27" t="n">
        <x:v>-18.213664906017502</x:v>
      </x:c>
    </x:row>
    <x:row r="114" ht="24" customHeight="1">
      <x:c r="A114" s="3"/>
      <x:c r="B114" s="17" t="d">
        <x:v>2013-03-09T00:00:00.000Z</x:v>
      </x:c>
      <x:c r="C114" s="3" t="str">
        <x:v>D+2 학습</x:v>
      </x:c>
      <x:c r="D114" s="3" t="str">
        <x:v>꾸준형</x:v>
      </x:c>
      <x:c r="E114" s="24" t="str">
        <x:v>최근 단발형</x:v>
      </x:c>
      <x:c r="F114" s="29" t="n">
        <x:v>1295</x:v>
      </x:c>
      <x:c r="G114" s="29" t="n">
        <x:v>1041</x:v>
      </x:c>
      <x:c r="H114" s="25" t="n">
        <x:v>0.4664092664092664</x:v>
      </x:c>
      <x:c r="I114" s="25" t="n">
        <x:v>0.23631123919308358</x:v>
      </x:c>
      <x:c r="J114" s="27" t="n">
        <x:f>(H114-I114)*100</x:f>
        <x:v>23.009802721618282</x:v>
      </x:c>
      <x:c r="K114" s="27" t="n">
        <x:v>19.207091302015257</x:v>
      </x:c>
      <x:c r="L114" s="27" t="n">
        <x:v>26.693391355332913</x:v>
      </x:c>
      <x:c r="M114" s="33" t="n">
        <x:v>1.4944838151291716e-28</x:v>
      </x:c>
      <x:c r="N114" s="24" t="str">
        <x:v>유의</x:v>
      </x:c>
      <x:c r="O114" s="33" t="n">
        <x:v>1.4944838151291788e-30</x:v>
      </x:c>
      <x:c r="P114" s="27" t="n">
        <x:v>-27.825508783895458</x:v>
      </x:c>
    </x:row>
    <x:row r="115" ht="24" customHeight="1">
      <x:c r="A115" s="3"/>
      <x:c r="B115" s="17" t="d">
        <x:v>2013-03-09T00:00:00.000Z</x:v>
      </x:c>
      <x:c r="C115" s="3" t="str">
        <x:v>D+2 학습</x:v>
      </x:c>
      <x:c r="D115" s="3" t="str">
        <x:v>꾸준형</x:v>
      </x:c>
      <x:c r="E115" s="24" t="str">
        <x:v>멈춤-꾸준형</x:v>
      </x:c>
      <x:c r="F115" s="29" t="n">
        <x:v>1295</x:v>
      </x:c>
      <x:c r="G115" s="29" t="n">
        <x:v>426</x:v>
      </x:c>
      <x:c r="H115" s="25" t="n">
        <x:v>0.4664092664092664</x:v>
      </x:c>
      <x:c r="I115" s="25" t="n">
        <x:v>0.3286384976525822</x:v>
      </x:c>
      <x:c r="J115" s="27" t="n">
        <x:f>(H115-I115)*100</x:f>
        <x:v>13.77707687566842</x:v>
      </x:c>
      <x:c r="K115" s="27" t="n">
        <x:v>8.444843555601011</x:v>
      </x:c>
      <x:c r="L115" s="27" t="n">
        <x:v>18.858293496834726</x:v>
      </x:c>
      <x:c r="M115" s="33" t="n">
        <x:v>0.000035128932417325404</x:v>
      </x:c>
      <x:c r="N115" s="24" t="str">
        <x:v>유의</x:v>
      </x:c>
      <x:c r="O115" s="33" t="n">
        <x:v>6.387078621331896e-7</x:v>
      </x:c>
      <x:c r="P115" s="27" t="n">
        <x:v>-4.454335048394984</x:v>
      </x:c>
    </x:row>
    <x:row r="116" ht="24" customHeight="1">
      <x:c r="A116" s="3"/>
      <x:c r="B116" s="17" t="d">
        <x:v>2013-03-09T00:00:00.000Z</x:v>
      </x:c>
      <x:c r="C116" s="3" t="str">
        <x:v>D+2 학습</x:v>
      </x:c>
      <x:c r="D116" s="3" t="str">
        <x:v>꾸준형</x:v>
      </x:c>
      <x:c r="E116" s="24" t="str">
        <x:v>멈춤-몰입형</x:v>
      </x:c>
      <x:c r="F116" s="29" t="n">
        <x:v>1295</x:v>
      </x:c>
      <x:c r="G116" s="29" t="n">
        <x:v>602</x:v>
      </x:c>
      <x:c r="H116" s="25" t="n">
        <x:v>0.4664092664092664</x:v>
      </x:c>
      <x:c r="I116" s="25" t="n">
        <x:v>0.22425249169435216</x:v>
      </x:c>
      <x:c r="J116" s="27" t="n">
        <x:f>(H116-I116)*100</x:f>
        <x:v>24.21567747149142</x:v>
      </x:c>
      <x:c r="K116" s="27" t="n">
        <x:v>19.792833005270026</x:v>
      </x:c>
      <x:c r="L116" s="27" t="n">
        <x:v>28.380216094940014</x:v>
      </x:c>
      <x:c r="M116" s="33" t="n">
        <x:v>7.133663470106798e-22</x:v>
      </x:c>
      <x:c r="N116" s="24" t="str">
        <x:v>유의</x:v>
      </x:c>
      <x:c r="O116" s="33" t="n">
        <x:v>7.753982032724751e-24</x:v>
      </x:c>
      <x:c r="P116" s="27" t="n">
        <x:v>-21.146687382315147</x:v>
      </x:c>
    </x:row>
    <x:row r="117" ht="24" customHeight="1">
      <x:c r="A117" s="3"/>
      <x:c r="B117" s="17" t="d">
        <x:v>2013-03-09T00:00:00.000Z</x:v>
      </x:c>
      <x:c r="C117" s="3" t="str">
        <x:v>D+2 학습</x:v>
      </x:c>
      <x:c r="D117" s="3" t="str">
        <x:v>꾸준형</x:v>
      </x:c>
      <x:c r="E117" s="24" t="str">
        <x:v>멈춤-저활동형</x:v>
      </x:c>
      <x:c r="F117" s="29" t="n">
        <x:v>1295</x:v>
      </x:c>
      <x:c r="G117" s="29" t="n">
        <x:v>1304</x:v>
      </x:c>
      <x:c r="H117" s="25" t="n">
        <x:v>0.4664092664092664</x:v>
      </x:c>
      <x:c r="I117" s="25" t="n">
        <x:v>0.18098159509202455</x:v>
      </x:c>
      <x:c r="J117" s="27" t="n">
        <x:f>(H117-I117)*100</x:f>
        <x:v>28.542767131724183</x:v>
      </x:c>
      <x:c r="K117" s="27" t="n">
        <x:v>25.068615414789107</x:v>
      </x:c>
      <x:c r="L117" s="27" t="n">
        <x:v>31.91836734516268</x:v>
      </x:c>
      <x:c r="M117" s="33" t="n">
        <x:v>1.5625495019469344e-52</x:v>
      </x:c>
      <x:c r="N117" s="24" t="str">
        <x:v>유의</x:v>
      </x:c>
      <x:c r="O117" s="33" t="n">
        <x:v>1.4468050943953144e-54</x:v>
      </x:c>
      <x:c r="P117" s="27" t="n">
        <x:v>-51.8061662152115</x:v>
      </x:c>
    </x:row>
    <x:row r="118" ht="24" customHeight="1">
      <x:c r="A118" s="3"/>
      <x:c r="B118" s="17" t="d">
        <x:v>2013-03-09T00:00:00.000Z</x:v>
      </x:c>
      <x:c r="C118" s="3" t="str">
        <x:v>D+2 학습</x:v>
      </x:c>
      <x:c r="D118" s="3" t="str">
        <x:v>습관 형성형</x:v>
      </x:c>
      <x:c r="E118" s="24" t="str">
        <x:v>최근 단발형</x:v>
      </x:c>
      <x:c r="F118" s="29" t="n">
        <x:v>1573</x:v>
      </x:c>
      <x:c r="G118" s="29" t="n">
        <x:v>1041</x:v>
      </x:c>
      <x:c r="H118" s="25" t="n">
        <x:v>0.29624920534011445</x:v>
      </x:c>
      <x:c r="I118" s="25" t="n">
        <x:v>0.23631123919308358</x:v>
      </x:c>
      <x:c r="J118" s="27" t="n">
        <x:f>(H118-I118)*100</x:f>
        <x:v>5.993796614703087</x:v>
      </x:c>
      <x:c r="K118" s="27" t="n">
        <x:v>2.52768970687135</x:v>
      </x:c>
      <x:c r="L118" s="27" t="n">
        <x:v>9.37933452961404</x:v>
      </x:c>
      <x:c r="M118" s="33" t="n">
        <x:v>0.027083898646584458</x:v>
      </x:c>
      <x:c r="N118" s="24" t="str">
        <x:v>유의</x:v>
      </x:c>
      <x:c r="O118" s="33" t="n">
        <x:v>0.0007523305179606795</x:v>
      </x:c>
      <x:c r="P118" s="27" t="n">
        <x:v>-1.5672888200891844</x:v>
      </x:c>
    </x:row>
    <x:row r="119" ht="24" customHeight="1">
      <x:c r="A119" s="3"/>
      <x:c r="B119" s="17" t="d">
        <x:v>2013-03-09T00:00:00.000Z</x:v>
      </x:c>
      <x:c r="C119" s="3" t="str">
        <x:v>D+2 학습</x:v>
      </x:c>
      <x:c r="D119" s="3" t="str">
        <x:v>습관 형성형</x:v>
      </x:c>
      <x:c r="E119" s="24" t="str">
        <x:v>멈춤-꾸준형</x:v>
      </x:c>
      <x:c r="F119" s="29" t="n">
        <x:v>1573</x:v>
      </x:c>
      <x:c r="G119" s="29" t="n">
        <x:v>426</x:v>
      </x:c>
      <x:c r="H119" s="25" t="n">
        <x:v>0.29624920534011445</x:v>
      </x:c>
      <x:c r="I119" s="25" t="n">
        <x:v>0.3286384976525822</x:v>
      </x:c>
      <x:c r="J119" s="27" t="n">
        <x:f>(H119-I119)*100</x:f>
        <x:v>-3.2389292312467735</x:v>
      </x:c>
      <x:c r="K119" s="27" t="n">
        <x:v>-8.33657526989802</x:v>
      </x:c>
      <x:c r="L119" s="27" t="n">
        <x:v>1.6305475478419948</x:v>
      </x:c>
      <x:c r="M119" s="33" t="n">
        <x:v>1</x:v>
      </x:c>
      <x:c r="N119" s="24" t="str">
        <x:v>유의하지 않음</x:v>
      </x:c>
      <x:c r="O119" s="33" t="n">
        <x:v>0.19697286405014866</x:v>
      </x:c>
      <x:c r="P119" s="27" t="n">
        <x:v>0</x:v>
      </x:c>
    </x:row>
    <x:row r="120" ht="24" customHeight="1">
      <x:c r="A120" s="3"/>
      <x:c r="B120" s="17" t="d">
        <x:v>2013-03-09T00:00:00.000Z</x:v>
      </x:c>
      <x:c r="C120" s="3" t="str">
        <x:v>D+2 학습</x:v>
      </x:c>
      <x:c r="D120" s="3" t="str">
        <x:v>습관 형성형</x:v>
      </x:c>
      <x:c r="E120" s="24" t="str">
        <x:v>멈춤-몰입형</x:v>
      </x:c>
      <x:c r="F120" s="29" t="n">
        <x:v>1573</x:v>
      </x:c>
      <x:c r="G120" s="29" t="n">
        <x:v>602</x:v>
      </x:c>
      <x:c r="H120" s="25" t="n">
        <x:v>0.29624920534011445</x:v>
      </x:c>
      <x:c r="I120" s="25" t="n">
        <x:v>0.22425249169435216</x:v>
      </x:c>
      <x:c r="J120" s="27" t="n">
        <x:f>(H120-I120)*100</x:f>
        <x:v>7.199671364576229</x:v>
      </x:c>
      <x:c r="K120" s="27" t="n">
        <x:v>3.062663251443639</x:v>
      </x:c>
      <x:c r="L120" s="27" t="n">
        <x:v>11.103057548015302</x:v>
      </x:c>
      <x:c r="M120" s="33" t="n">
        <x:v>0.027336420813583163</x:v>
      </x:c>
      <x:c r="N120" s="24" t="str">
        <x:v>유의</x:v>
      </x:c>
      <x:c r="O120" s="33" t="n">
        <x:v>0.0007810405946738048</x:v>
      </x:c>
      <x:c r="P120" s="27" t="n">
        <x:v>-1.563258348680672</x:v>
      </x:c>
    </x:row>
    <x:row r="121" ht="24" customHeight="1">
      <x:c r="A121" s="3"/>
      <x:c r="B121" s="17" t="d">
        <x:v>2013-03-09T00:00:00.000Z</x:v>
      </x:c>
      <x:c r="C121" s="3" t="str">
        <x:v>D+2 학습</x:v>
      </x:c>
      <x:c r="D121" s="3" t="str">
        <x:v>습관 형성형</x:v>
      </x:c>
      <x:c r="E121" s="24" t="str">
        <x:v>멈춤-저활동형</x:v>
      </x:c>
      <x:c r="F121" s="29" t="n">
        <x:v>1573</x:v>
      </x:c>
      <x:c r="G121" s="29" t="n">
        <x:v>1304</x:v>
      </x:c>
      <x:c r="H121" s="25" t="n">
        <x:v>0.29624920534011445</x:v>
      </x:c>
      <x:c r="I121" s="25" t="n">
        <x:v>0.18098159509202455</x:v>
      </x:c>
      <x:c r="J121" s="27" t="n">
        <x:f>(H121-I121)*100</x:f>
        <x:v>11.526761024808991</x:v>
      </x:c>
      <x:c r="K121" s="27" t="n">
        <x:v>8.424662846475076</x:v>
      </x:c>
      <x:c r="L121" s="27" t="n">
        <x:v>14.57433687322261</x:v>
      </x:c>
      <x:c r="M121" s="33" t="n">
        <x:v>5.942142372318747e-11</x:v>
      </x:c>
      <x:c r="N121" s="24" t="str">
        <x:v>유의</x:v>
      </x:c>
      <x:c r="O121" s="33" t="n">
        <x:v>7.71706801599837e-13</x:v>
      </x:c>
      <x:c r="P121" s="27" t="n">
        <x:v>-10.226056946815143</x:v>
      </x:c>
    </x:row>
    <x:row r="122" ht="24" customHeight="1">
      <x:c r="A122" s="3"/>
      <x:c r="B122" s="17" t="d">
        <x:v>2013-03-09T00:00:00.000Z</x:v>
      </x:c>
      <x:c r="C122" s="3" t="str">
        <x:v>D+2 학습</x:v>
      </x:c>
      <x:c r="D122" s="3" t="str">
        <x:v>최근 단발형</x:v>
      </x:c>
      <x:c r="E122" s="24" t="str">
        <x:v>멈춤-꾸준형</x:v>
      </x:c>
      <x:c r="F122" s="29" t="n">
        <x:v>1041</x:v>
      </x:c>
      <x:c r="G122" s="29" t="n">
        <x:v>426</x:v>
      </x:c>
      <x:c r="H122" s="25" t="n">
        <x:v>0.23631123919308358</x:v>
      </x:c>
      <x:c r="I122" s="25" t="n">
        <x:v>0.3286384976525822</x:v>
      </x:c>
      <x:c r="J122" s="27" t="n">
        <x:f>(H122-I122)*100</x:f>
        <x:v>-9.23272584594986</x:v>
      </x:c>
      <x:c r="K122" s="27" t="n">
        <x:v>-14.455738924420594</x:v>
      </x:c>
      <x:c r="L122" s="27" t="n">
        <x:v>-4.1772629880303604</x:v>
      </x:c>
      <x:c r="M122" s="33" t="n">
        <x:v>0.010937641005479283</x:v>
      </x:c>
      <x:c r="N122" s="24" t="str">
        <x:v>유의</x:v>
      </x:c>
      <x:c r="O122" s="33" t="n">
        <x:v>0.00026677173184095807</x:v>
      </x:c>
      <x:c r="P122" s="27" t="n">
        <x:v>-1.9610763351118623</x:v>
      </x:c>
    </x:row>
    <x:row r="123" ht="24" customHeight="1">
      <x:c r="A123" s="3"/>
      <x:c r="B123" s="17" t="d">
        <x:v>2013-03-09T00:00:00.000Z</x:v>
      </x:c>
      <x:c r="C123" s="3" t="str">
        <x:v>D+2 학습</x:v>
      </x:c>
      <x:c r="D123" s="3" t="str">
        <x:v>최근 단발형</x:v>
      </x:c>
      <x:c r="E123" s="24" t="str">
        <x:v>멈춤-몰입형</x:v>
      </x:c>
      <x:c r="F123" s="29" t="n">
        <x:v>1041</x:v>
      </x:c>
      <x:c r="G123" s="29" t="n">
        <x:v>602</x:v>
      </x:c>
      <x:c r="H123" s="25" t="n">
        <x:v>0.23631123919308358</x:v>
      </x:c>
      <x:c r="I123" s="25" t="n">
        <x:v>0.22425249169435216</x:v>
      </x:c>
      <x:c r="J123" s="27" t="n">
        <x:f>(H123-I123)*100</x:f>
        <x:v>1.2058747498731426</x:v>
      </x:c>
      <x:c r="K123" s="27" t="n">
        <x:v>-3.0846621175391933</x:v>
      </x:c>
      <x:c r="L123" s="27" t="n">
        <x:v>5.338951606499682</x:v>
      </x:c>
      <x:c r="M123" s="33" t="n">
        <x:v>1</x:v>
      </x:c>
      <x:c r="N123" s="24" t="str">
        <x:v>유의하지 않음</x:v>
      </x:c>
      <x:c r="O123" s="33" t="n">
        <x:v>0.5768283902508886</x:v>
      </x:c>
      <x:c r="P123" s="27" t="n">
        <x:v>0</x:v>
      </x:c>
    </x:row>
    <x:row r="124" ht="24" customHeight="1">
      <x:c r="A124" s="3"/>
      <x:c r="B124" s="17" t="d">
        <x:v>2013-03-09T00:00:00.000Z</x:v>
      </x:c>
      <x:c r="C124" s="3" t="str">
        <x:v>D+2 학습</x:v>
      </x:c>
      <x:c r="D124" s="3" t="str">
        <x:v>최근 단발형</x:v>
      </x:c>
      <x:c r="E124" s="24" t="str">
        <x:v>멈춤-저활동형</x:v>
      </x:c>
      <x:c r="F124" s="29" t="n">
        <x:v>1041</x:v>
      </x:c>
      <x:c r="G124" s="29" t="n">
        <x:v>1304</x:v>
      </x:c>
      <x:c r="H124" s="25" t="n">
        <x:v>0.23631123919308358</x:v>
      </x:c>
      <x:c r="I124" s="25" t="n">
        <x:v>0.18098159509202455</x:v>
      </x:c>
      <x:c r="J124" s="27" t="n">
        <x:f>(H124-I124)*100</x:f>
        <x:v>5.532964410105904</x:v>
      </x:c>
      <x:c r="K124" s="27" t="n">
        <x:v>2.2288936495860603</x:v>
      </x:c>
      <x:c r="L124" s="27" t="n">
        <x:v>8.869672242319094</x:v>
      </x:c>
      <x:c r="M124" s="33" t="n">
        <x:v>0.032559830157357195</x:v>
      </x:c>
      <x:c r="N124" s="24" t="str">
        <x:v>유의</x:v>
      </x:c>
      <x:c r="O124" s="33" t="n">
        <x:v>0.000986661519919915</x:v>
      </x:c>
      <x:c r="P124" s="27" t="n">
        <x:v>-1.4873178691979143</x:v>
      </x:c>
    </x:row>
    <x:row r="125" ht="24" customHeight="1">
      <x:c r="A125" s="3"/>
      <x:c r="B125" s="17" t="d">
        <x:v>2013-03-09T00:00:00.000Z</x:v>
      </x:c>
      <x:c r="C125" s="3" t="str">
        <x:v>D+2 학습</x:v>
      </x:c>
      <x:c r="D125" s="3" t="str">
        <x:v>멈춤-꾸준형</x:v>
      </x:c>
      <x:c r="E125" s="24" t="str">
        <x:v>멈춤-몰입형</x:v>
      </x:c>
      <x:c r="F125" s="29" t="n">
        <x:v>426</x:v>
      </x:c>
      <x:c r="G125" s="29" t="n">
        <x:v>602</x:v>
      </x:c>
      <x:c r="H125" s="25" t="n">
        <x:v>0.3286384976525822</x:v>
      </x:c>
      <x:c r="I125" s="25" t="n">
        <x:v>0.22425249169435216</x:v>
      </x:c>
      <x:c r="J125" s="27" t="n">
        <x:f>(H125-I125)*100</x:f>
        <x:v>10.438600595823003</x:v>
      </x:c>
      <x:c r="K125" s="27" t="n">
        <x:v>4.901575786468291</x:v>
      </x:c>
      <x:c r="L125" s="27" t="n">
        <x:v>16.011250086113936</x:v>
      </x:c>
      <x:c r="M125" s="33" t="n">
        <x:v>0.008216700848255171</x:v>
      </x:c>
      <x:c r="N125" s="24" t="str">
        <x:v>유의</x:v>
      </x:c>
      <x:c r="O125" s="33" t="n">
        <x:v>0.00019563573448226604</x:v>
      </x:c>
      <x:c r="P125" s="27" t="n">
        <x:v>-2.0853025244316394</x:v>
      </x:c>
    </x:row>
    <x:row r="126" ht="24" customHeight="1">
      <x:c r="A126" s="3"/>
      <x:c r="B126" s="17" t="d">
        <x:v>2013-03-09T00:00:00.000Z</x:v>
      </x:c>
      <x:c r="C126" s="3" t="str">
        <x:v>D+2 학습</x:v>
      </x:c>
      <x:c r="D126" s="3" t="str">
        <x:v>멈춤-꾸준형</x:v>
      </x:c>
      <x:c r="E126" s="24" t="str">
        <x:v>멈춤-저활동형</x:v>
      </x:c>
      <x:c r="F126" s="29" t="n">
        <x:v>426</x:v>
      </x:c>
      <x:c r="G126" s="29" t="n">
        <x:v>1304</x:v>
      </x:c>
      <x:c r="H126" s="25" t="n">
        <x:v>0.3286384976525822</x:v>
      </x:c>
      <x:c r="I126" s="25" t="n">
        <x:v>0.18098159509202455</x:v>
      </x:c>
      <x:c r="J126" s="27" t="n">
        <x:f>(H126-I126)*100</x:f>
        <x:v>14.765690256055763</x:v>
      </x:c>
      <x:c r="K126" s="27" t="n">
        <x:v>9.952497893464455</x:v>
      </x:c>
      <x:c r="L126" s="27" t="n">
        <x:v>19.776250823139126</x:v>
      </x:c>
      <x:c r="M126" s="33" t="n">
        <x:v>9.697495937467928e-9</x:v>
      </x:c>
      <x:c r="N126" s="24" t="str">
        <x:v>유의</x:v>
      </x:c>
      <x:c r="O126" s="33" t="n">
        <x:v>1.40543419383593e-10</x:v>
      </x:c>
      <x:c r="P126" s="27" t="n">
        <x:v>-8.013340393665068</x:v>
      </x:c>
    </x:row>
    <x:row r="127" ht="24" customHeight="1">
      <x:c r="A127" s="3"/>
      <x:c r="B127" s="17" t="d">
        <x:v>2013-03-09T00:00:00.000Z</x:v>
      </x:c>
      <x:c r="C127" s="3" t="str">
        <x:v>D+2 학습</x:v>
      </x:c>
      <x:c r="D127" s="3" t="str">
        <x:v>멈춤-몰입형</x:v>
      </x:c>
      <x:c r="E127" s="24" t="str">
        <x:v>멈춤-저활동형</x:v>
      </x:c>
      <x:c r="F127" s="29" t="n">
        <x:v>602</x:v>
      </x:c>
      <x:c r="G127" s="29" t="n">
        <x:v>1304</x:v>
      </x:c>
      <x:c r="H127" s="25" t="n">
        <x:v>0.22425249169435216</x:v>
      </x:c>
      <x:c r="I127" s="25" t="n">
        <x:v>0.18098159509202455</x:v>
      </x:c>
      <x:c r="J127" s="27" t="n">
        <x:f>(H127-I127)*100</x:f>
        <x:v>4.327089660232761</x:v>
      </x:c>
      <x:c r="K127" s="27" t="n">
        <x:v>0.49414818999275467</x:v>
      </x:c>
      <x:c r="L127" s="27" t="n">
        <x:v>8.356302758240714</x:v>
      </x:c>
      <x:c r="M127" s="33" t="n">
        <x:v>0.5577121991971725</x:v>
      </x:c>
      <x:c r="N127" s="24" t="str">
        <x:v>유의하지 않음</x:v>
      </x:c>
      <x:c r="O127" s="33" t="n">
        <x:v>0.02655772377129393</x:v>
      </x:c>
      <x:c r="P127" s="27" t="n">
        <x:v>-0.25358985580237564</x:v>
      </x:c>
    </x:row>
    <x:row r="128" ht="24" customHeight="1">
      <x:c r="A128" s="3"/>
      <x:c r="B128" s="17" t="d">
        <x:v>2013-03-09T00:00:00.000Z</x:v>
      </x:c>
      <x:c r="C128" s="3" t="str">
        <x:v>2일 내 추가 학습</x:v>
      </x:c>
      <x:c r="D128" s="3" t="str">
        <x:v>꾸준형</x:v>
      </x:c>
      <x:c r="E128" s="24" t="str">
        <x:v>습관 형성형</x:v>
      </x:c>
      <x:c r="F128" s="29" t="n">
        <x:v>1295</x:v>
      </x:c>
      <x:c r="G128" s="29" t="n">
        <x:v>1573</x:v>
      </x:c>
      <x:c r="H128" s="25" t="n">
        <x:v>0.6965250965250965</x:v>
      </x:c>
      <x:c r="I128" s="25" t="n">
        <x:v>0.48506039415130325</x:v>
      </x:c>
      <x:c r="J128" s="27" t="n">
        <x:f>(H128-I128)*100</x:f>
        <x:v>21.14647023737933</x:v>
      </x:c>
      <x:c r="K128" s="27" t="n">
        <x:v>17.589477671380173</x:v>
      </x:c>
      <x:c r="L128" s="27" t="n">
        <x:v>24.615591704044476</x:v>
      </x:c>
      <x:c r="M128" s="33" t="n">
        <x:v>3.268611227641688e-28</x:v>
      </x:c>
      <x:c r="N128" s="24" t="str">
        <x:v>유의</x:v>
      </x:c>
      <x:c r="O128" s="33" t="n">
        <x:v>3.301627502668381e-30</x:v>
      </x:c>
      <x:c r="P128" s="27" t="n">
        <x:v>-27.48563673183035</x:v>
      </x:c>
    </x:row>
    <x:row r="129" ht="24" customHeight="1">
      <x:c r="A129" s="3"/>
      <x:c r="B129" s="17" t="d">
        <x:v>2013-03-09T00:00:00.000Z</x:v>
      </x:c>
      <x:c r="C129" s="3" t="str">
        <x:v>2일 내 추가 학습</x:v>
      </x:c>
      <x:c r="D129" s="3" t="str">
        <x:v>꾸준형</x:v>
      </x:c>
      <x:c r="E129" s="24" t="str">
        <x:v>최근 단발형</x:v>
      </x:c>
      <x:c r="F129" s="29" t="n">
        <x:v>1295</x:v>
      </x:c>
      <x:c r="G129" s="29" t="n">
        <x:v>1041</x:v>
      </x:c>
      <x:c r="H129" s="25" t="n">
        <x:v>0.6965250965250965</x:v>
      </x:c>
      <x:c r="I129" s="25" t="n">
        <x:v>0.38424591738712777</x:v>
      </x:c>
      <x:c r="J129" s="27" t="n">
        <x:f>(H129-I129)*100</x:f>
        <x:v>31.227917913796876</x:v>
      </x:c>
      <x:c r="K129" s="27" t="n">
        <x:v>27.290562584469274</x:v>
      </x:c>
      <x:c r="L129" s="27" t="n">
        <x:v>35.02517400451691</x:v>
      </x:c>
      <x:c r="M129" s="33" t="n">
        <x:v>1.6462840443273036e-49</x:v>
      </x:c>
      <x:c r="N129" s="24" t="str">
        <x:v>유의</x:v>
      </x:c>
      <x:c r="O129" s="33" t="n">
        <x:v>1.5385832189974738e-51</x:v>
      </x:c>
      <x:c r="P129" s="27" t="n">
        <x:v>-48.783495230945505</x:v>
      </x:c>
    </x:row>
    <x:row r="130" ht="24" customHeight="1">
      <x:c r="A130" s="3"/>
      <x:c r="B130" s="17" t="d">
        <x:v>2013-03-09T00:00:00.000Z</x:v>
      </x:c>
      <x:c r="C130" s="3" t="str">
        <x:v>2일 내 추가 학습</x:v>
      </x:c>
      <x:c r="D130" s="3" t="str">
        <x:v>꾸준형</x:v>
      </x:c>
      <x:c r="E130" s="24" t="str">
        <x:v>멈춤-꾸준형</x:v>
      </x:c>
      <x:c r="F130" s="29" t="n">
        <x:v>1295</x:v>
      </x:c>
      <x:c r="G130" s="29" t="n">
        <x:v>426</x:v>
      </x:c>
      <x:c r="H130" s="25" t="n">
        <x:v>0.6965250965250965</x:v>
      </x:c>
      <x:c r="I130" s="25" t="n">
        <x:v>0.5234741784037559</x:v>
      </x:c>
      <x:c r="J130" s="27" t="n">
        <x:f>(H130-I130)*100</x:f>
        <x:v>17.305091812134066</x:v>
      </x:c>
      <x:c r="K130" s="27" t="n">
        <x:v>11.952985004360345</x:v>
      </x:c>
      <x:c r="L130" s="27" t="n">
        <x:v>22.639862522032097</x:v>
      </x:c>
      <x:c r="M130" s="33" t="n">
        <x:v>5.270258493476035e-9</x:v>
      </x:c>
      <x:c r="N130" s="24" t="str">
        <x:v>유의</x:v>
      </x:c>
      <x:c r="O130" s="33" t="n">
        <x:v>7.42289928658597e-11</x:v>
      </x:c>
      <x:c r="P130" s="27" t="n">
        <x:v>-8.278168083167508</x:v>
      </x:c>
    </x:row>
    <x:row r="131" ht="24" customHeight="1">
      <x:c r="A131" s="3"/>
      <x:c r="B131" s="17" t="d">
        <x:v>2013-03-09T00:00:00.000Z</x:v>
      </x:c>
      <x:c r="C131" s="3" t="str">
        <x:v>2일 내 추가 학습</x:v>
      </x:c>
      <x:c r="D131" s="3" t="str">
        <x:v>꾸준형</x:v>
      </x:c>
      <x:c r="E131" s="24" t="str">
        <x:v>멈춤-몰입형</x:v>
      </x:c>
      <x:c r="F131" s="29" t="n">
        <x:v>1295</x:v>
      </x:c>
      <x:c r="G131" s="29" t="n">
        <x:v>602</x:v>
      </x:c>
      <x:c r="H131" s="25" t="n">
        <x:v>0.6965250965250965</x:v>
      </x:c>
      <x:c r="I131" s="25" t="n">
        <x:v>0.42358803986710963</x:v>
      </x:c>
      <x:c r="J131" s="27" t="n">
        <x:f>(H131-I131)*100</x:f>
        <x:v>27.29370566579869</x:v>
      </x:c>
      <x:c r="K131" s="27" t="n">
        <x:v>22.559073264568553</x:v>
      </x:c>
      <x:c r="L131" s="27" t="n">
        <x:v>31.88420244682043</x:v>
      </x:c>
      <x:c r="M131" s="33" t="n">
        <x:v>7.829400367571385e-28</x:v>
      </x:c>
      <x:c r="N131" s="24" t="str">
        <x:v>유의</x:v>
      </x:c>
      <x:c r="O131" s="33" t="n">
        <x:v>7.98918404854224e-30</x:v>
      </x:c>
      <x:c r="P131" s="27" t="n">
        <x:v>-27.106271498098756</x:v>
      </x:c>
    </x:row>
    <x:row r="132" ht="24" customHeight="1">
      <x:c r="A132" s="3"/>
      <x:c r="B132" s="17" t="d">
        <x:v>2013-03-09T00:00:00.000Z</x:v>
      </x:c>
      <x:c r="C132" s="3" t="str">
        <x:v>2일 내 추가 학습</x:v>
      </x:c>
      <x:c r="D132" s="3" t="str">
        <x:v>꾸준형</x:v>
      </x:c>
      <x:c r="E132" s="24" t="str">
        <x:v>멈춤-저활동형</x:v>
      </x:c>
      <x:c r="F132" s="29" t="n">
        <x:v>1295</x:v>
      </x:c>
      <x:c r="G132" s="29" t="n">
        <x:v>1304</x:v>
      </x:c>
      <x:c r="H132" s="25" t="n">
        <x:v>0.6965250965250965</x:v>
      </x:c>
      <x:c r="I132" s="25" t="n">
        <x:v>0.3558282208588957</x:v>
      </x:c>
      <x:c r="J132" s="27" t="n">
        <x:f>(H132-I132)*100</x:f>
        <x:v>34.06968756662008</x:v>
      </x:c>
      <x:c r="K132" s="27" t="n">
        <x:v>30.394745865086687</x:v>
      </x:c>
      <x:c r="L132" s="27" t="n">
        <x:v>37.6029782810616</x:v>
      </x:c>
      <x:c r="M132" s="33" t="n">
        <x:v>1.0805852303582732e-65</x:v>
      </x:c>
      <x:c r="N132" s="24" t="str">
        <x:v>유의</x:v>
      </x:c>
      <x:c r="O132" s="33" t="n">
        <x:v>9.562701153613e-68</x:v>
      </x:c>
      <x:c r="P132" s="27" t="n">
        <x:v>-64.96634097277473</x:v>
      </x:c>
    </x:row>
    <x:row r="133" ht="24" customHeight="1">
      <x:c r="A133" s="3"/>
      <x:c r="B133" s="17" t="d">
        <x:v>2013-03-09T00:00:00.000Z</x:v>
      </x:c>
      <x:c r="C133" s="3" t="str">
        <x:v>2일 내 추가 학습</x:v>
      </x:c>
      <x:c r="D133" s="3" t="str">
        <x:v>습관 형성형</x:v>
      </x:c>
      <x:c r="E133" s="24" t="str">
        <x:v>최근 단발형</x:v>
      </x:c>
      <x:c r="F133" s="29" t="n">
        <x:v>1573</x:v>
      </x:c>
      <x:c r="G133" s="29" t="n">
        <x:v>1041</x:v>
      </x:c>
      <x:c r="H133" s="25" t="n">
        <x:v>0.48506039415130325</x:v>
      </x:c>
      <x:c r="I133" s="25" t="n">
        <x:v>0.38424591738712777</x:v>
      </x:c>
      <x:c r="J133" s="27" t="n">
        <x:f>(H133-I133)*100</x:f>
        <x:v>10.081447676417548</x:v>
      </x:c>
      <x:c r="K133" s="27" t="n">
        <x:v>6.205803869036574</x:v>
      </x:c>
      <x:c r="L133" s="27" t="n">
        <x:v>13.896469840824038</x:v>
      </x:c>
      <x:c r="M133" s="33" t="n">
        <x:v>0.000021426920229464367</x:v>
      </x:c>
      <x:c r="N133" s="24" t="str">
        <x:v>유의</x:v>
      </x:c>
      <x:c r="O133" s="33" t="n">
        <x:v>3.8262357552614925e-7</x:v>
      </x:c>
      <x:c r="P133" s="27" t="n">
        <x:v>-4.66904024722548</x:v>
      </x:c>
    </x:row>
    <x:row r="134" ht="24" customHeight="1">
      <x:c r="A134" s="3"/>
      <x:c r="B134" s="17" t="d">
        <x:v>2013-03-09T00:00:00.000Z</x:v>
      </x:c>
      <x:c r="C134" s="3" t="str">
        <x:v>2일 내 추가 학습</x:v>
      </x:c>
      <x:c r="D134" s="3" t="str">
        <x:v>습관 형성형</x:v>
      </x:c>
      <x:c r="E134" s="24" t="str">
        <x:v>멈춤-꾸준형</x:v>
      </x:c>
      <x:c r="F134" s="29" t="n">
        <x:v>1573</x:v>
      </x:c>
      <x:c r="G134" s="29" t="n">
        <x:v>426</x:v>
      </x:c>
      <x:c r="H134" s="25" t="n">
        <x:v>0.48506039415130325</x:v>
      </x:c>
      <x:c r="I134" s="25" t="n">
        <x:v>0.5234741784037559</x:v>
      </x:c>
      <x:c r="J134" s="27" t="n">
        <x:f>(H134-I134)*100</x:f>
        <x:v>-3.841378425245262</x:v>
      </x:c>
      <x:c r="K134" s="27" t="n">
        <x:v>-9.148250876522365</x:v>
      </x:c>
      <x:c r="L134" s="27" t="n">
        <x:v>1.5060526237340763</x:v>
      </x:c>
      <x:c r="M134" s="33" t="n">
        <x:v>1</x:v>
      </x:c>
      <x:c r="N134" s="24" t="str">
        <x:v>유의하지 않음</x:v>
      </x:c>
      <x:c r="O134" s="33" t="n">
        <x:v>0.15949908657765555</x:v>
      </x:c>
      <x:c r="P134" s="27" t="n">
        <x:v>0</x:v>
      </x:c>
    </x:row>
    <x:row r="135" ht="24" customHeight="1">
      <x:c r="A135" s="3"/>
      <x:c r="B135" s="17" t="d">
        <x:v>2013-03-09T00:00:00.000Z</x:v>
      </x:c>
      <x:c r="C135" s="3" t="str">
        <x:v>2일 내 추가 학습</x:v>
      </x:c>
      <x:c r="D135" s="3" t="str">
        <x:v>습관 형성형</x:v>
      </x:c>
      <x:c r="E135" s="24" t="str">
        <x:v>멈춤-몰입형</x:v>
      </x:c>
      <x:c r="F135" s="29" t="n">
        <x:v>1573</x:v>
      </x:c>
      <x:c r="G135" s="29" t="n">
        <x:v>602</x:v>
      </x:c>
      <x:c r="H135" s="25" t="n">
        <x:v>0.48506039415130325</x:v>
      </x:c>
      <x:c r="I135" s="25" t="n">
        <x:v>0.42358803986710963</x:v>
      </x:c>
      <x:c r="J135" s="27" t="n">
        <x:f>(H135-I135)*100</x:f>
        <x:v>6.147235428419362</x:v>
      </x:c>
      <x:c r="K135" s="27" t="n">
        <x:v>1.4637973849427222</x:v>
      </x:c>
      <x:c r="L135" s="27" t="n">
        <x:v>10.752439114791255</x:v>
      </x:c>
      <x:c r="M135" s="33" t="n">
        <x:v>0.23351370016142606</x:v>
      </x:c>
      <x:c r="N135" s="24" t="str">
        <x:v>유의하지 않음</x:v>
      </x:c>
      <x:c r="O135" s="33" t="n">
        <x:v>0.010152769572235916</x:v>
      </x:c>
      <x:c r="P135" s="27" t="n">
        <x:v>-0.6316876344556173</x:v>
      </x:c>
    </x:row>
    <x:row r="136" ht="24" customHeight="1">
      <x:c r="A136" s="3"/>
      <x:c r="B136" s="17" t="d">
        <x:v>2013-03-09T00:00:00.000Z</x:v>
      </x:c>
      <x:c r="C136" s="3" t="str">
        <x:v>2일 내 추가 학습</x:v>
      </x:c>
      <x:c r="D136" s="3" t="str">
        <x:v>습관 형성형</x:v>
      </x:c>
      <x:c r="E136" s="24" t="str">
        <x:v>멈춤-저활동형</x:v>
      </x:c>
      <x:c r="F136" s="29" t="n">
        <x:v>1573</x:v>
      </x:c>
      <x:c r="G136" s="29" t="n">
        <x:v>1304</x:v>
      </x:c>
      <x:c r="H136" s="25" t="n">
        <x:v>0.48506039415130325</x:v>
      </x:c>
      <x:c r="I136" s="25" t="n">
        <x:v>0.3558282208588957</x:v>
      </x:c>
      <x:c r="J136" s="27" t="n">
        <x:f>(H136-I136)*100</x:f>
        <x:v>12.923217329240755</x:v>
      </x:c>
      <x:c r="K136" s="27" t="n">
        <x:v>9.314471779610637</x:v>
      </x:c>
      <x:c r="L136" s="27" t="n">
        <x:v>16.475594500820517</x:v>
      </x:c>
      <x:c r="M136" s="33" t="n">
        <x:v>2.258843039793262e-10</x:v>
      </x:c>
      <x:c r="N136" s="24" t="str">
        <x:v>유의</x:v>
      </x:c>
      <x:c r="O136" s="33" t="n">
        <x:v>3.0117907197243503e-12</x:v>
      </x:c>
      <x:c r="P136" s="27" t="n">
        <x:v>-9.646113945848104</x:v>
      </x:c>
    </x:row>
    <x:row r="137" ht="24" customHeight="1">
      <x:c r="A137" s="3"/>
      <x:c r="B137" s="17" t="d">
        <x:v>2013-03-09T00:00:00.000Z</x:v>
      </x:c>
      <x:c r="C137" s="3" t="str">
        <x:v>2일 내 추가 학습</x:v>
      </x:c>
      <x:c r="D137" s="3" t="str">
        <x:v>최근 단발형</x:v>
      </x:c>
      <x:c r="E137" s="24" t="str">
        <x:v>멈춤-꾸준형</x:v>
      </x:c>
      <x:c r="F137" s="29" t="n">
        <x:v>1041</x:v>
      </x:c>
      <x:c r="G137" s="29" t="n">
        <x:v>426</x:v>
      </x:c>
      <x:c r="H137" s="25" t="n">
        <x:v>0.38424591738712777</x:v>
      </x:c>
      <x:c r="I137" s="25" t="n">
        <x:v>0.5234741784037559</x:v>
      </x:c>
      <x:c r="J137" s="27" t="n">
        <x:f>(H137-I137)*100</x:f>
        <x:v>-13.92282610166281</x:v>
      </x:c>
      <x:c r="K137" s="27" t="n">
        <x:v>-19.449782341959754</x:v>
      </x:c>
      <x:c r="L137" s="27" t="n">
        <x:v>-8.315189371417219</x:v>
      </x:c>
      <x:c r="M137" s="33" t="n">
        <x:v>0.00005149413225191642</x:v>
      </x:c>
      <x:c r="N137" s="24" t="str">
        <x:v>유의</x:v>
      </x:c>
      <x:c r="O137" s="33" t="n">
        <x:v>9.715874009795546e-7</x:v>
      </x:c>
      <x:c r="P137" s="27" t="n">
        <x:v>-4.288242255925786</x:v>
      </x:c>
    </x:row>
    <x:row r="138" ht="24" customHeight="1">
      <x:c r="A138" s="3"/>
      <x:c r="B138" s="17" t="d">
        <x:v>2013-03-09T00:00:00.000Z</x:v>
      </x:c>
      <x:c r="C138" s="3" t="str">
        <x:v>2일 내 추가 학습</x:v>
      </x:c>
      <x:c r="D138" s="3" t="str">
        <x:v>최근 단발형</x:v>
      </x:c>
      <x:c r="E138" s="24" t="str">
        <x:v>멈춤-몰입형</x:v>
      </x:c>
      <x:c r="F138" s="29" t="n">
        <x:v>1041</x:v>
      </x:c>
      <x:c r="G138" s="29" t="n">
        <x:v>602</x:v>
      </x:c>
      <x:c r="H138" s="25" t="n">
        <x:v>0.38424591738712777</x:v>
      </x:c>
      <x:c r="I138" s="25" t="n">
        <x:v>0.42358803986710963</x:v>
      </x:c>
      <x:c r="J138" s="27" t="n">
        <x:f>(H138-I138)*100</x:f>
        <x:v>-3.934212247998187</x:v>
      </x:c>
      <x:c r="K138" s="27" t="n">
        <x:v>-8.865636177769158</x:v>
      </x:c>
      <x:c r="L138" s="27" t="n">
        <x:v>0.9707313671501551</x:v>
      </x:c>
      <x:c r="M138" s="33" t="n">
        <x:v>1</x:v>
      </x:c>
      <x:c r="N138" s="24" t="str">
        <x:v>유의하지 않음</x:v>
      </x:c>
      <x:c r="O138" s="33" t="n">
        <x:v>0.11658219192505595</x:v>
      </x:c>
      <x:c r="P138" s="27" t="n">
        <x:v>0</x:v>
      </x:c>
    </x:row>
    <x:row r="139" ht="24" customHeight="1">
      <x:c r="A139" s="3"/>
      <x:c r="B139" s="17" t="d">
        <x:v>2013-03-09T00:00:00.000Z</x:v>
      </x:c>
      <x:c r="C139" s="3" t="str">
        <x:v>2일 내 추가 학습</x:v>
      </x:c>
      <x:c r="D139" s="3" t="str">
        <x:v>최근 단발형</x:v>
      </x:c>
      <x:c r="E139" s="24" t="str">
        <x:v>멈춤-저활동형</x:v>
      </x:c>
      <x:c r="F139" s="29" t="n">
        <x:v>1041</x:v>
      </x:c>
      <x:c r="G139" s="29" t="n">
        <x:v>1304</x:v>
      </x:c>
      <x:c r="H139" s="25" t="n">
        <x:v>0.38424591738712777</x:v>
      </x:c>
      <x:c r="I139" s="25" t="n">
        <x:v>0.3558282208588957</x:v>
      </x:c>
      <x:c r="J139" s="27" t="n">
        <x:f>(H139-I139)*100</x:f>
        <x:v>2.8417696528232064</x:v>
      </x:c>
      <x:c r="K139" s="27" t="n">
        <x:v>-1.0834557559920195</x:v>
      </x:c>
      <x:c r="L139" s="27" t="n">
        <x:v>6.7749559494499305</x:v>
      </x:c>
      <x:c r="M139" s="33" t="n">
        <x:v>1</x:v>
      </x:c>
      <x:c r="N139" s="24" t="str">
        <x:v>유의하지 않음</x:v>
      </x:c>
      <x:c r="O139" s="33" t="n">
        <x:v>0.15636827556860247</x:v>
      </x:c>
      <x:c r="P139" s="27" t="n">
        <x:v>0</x:v>
      </x:c>
    </x:row>
    <x:row r="140" ht="24" customHeight="1">
      <x:c r="A140" s="3"/>
      <x:c r="B140" s="17" t="d">
        <x:v>2013-03-09T00:00:00.000Z</x:v>
      </x:c>
      <x:c r="C140" s="3" t="str">
        <x:v>2일 내 추가 학습</x:v>
      </x:c>
      <x:c r="D140" s="3" t="str">
        <x:v>멈춤-꾸준형</x:v>
      </x:c>
      <x:c r="E140" s="24" t="str">
        <x:v>멈춤-몰입형</x:v>
      </x:c>
      <x:c r="F140" s="29" t="n">
        <x:v>426</x:v>
      </x:c>
      <x:c r="G140" s="29" t="n">
        <x:v>602</x:v>
      </x:c>
      <x:c r="H140" s="25" t="n">
        <x:v>0.5234741784037559</x:v>
      </x:c>
      <x:c r="I140" s="25" t="n">
        <x:v>0.42358803986710963</x:v>
      </x:c>
      <x:c r="J140" s="27" t="n">
        <x:f>(H140-I140)*100</x:f>
        <x:v>9.988613853664624</x:v>
      </x:c>
      <x:c r="K140" s="27" t="n">
        <x:v>3.795103808157854</x:v>
      </x:c>
      <x:c r="L140" s="27" t="n">
        <x:v>16.08785578690664</x:v>
      </x:c>
      <x:c r="M140" s="33" t="n">
        <x:v>0.04995581940848785</x:v>
      </x:c>
      <x:c r="N140" s="24" t="str">
        <x:v>유의</x:v>
      </x:c>
      <x:c r="O140" s="33" t="n">
        <x:v>0.0015611193565152454</x:v>
      </x:c>
      <x:c r="P140" s="27" t="n">
        <x:v>-1.3014139130479614</x:v>
      </x:c>
    </x:row>
    <x:row r="141" ht="24" customHeight="1">
      <x:c r="A141" s="3"/>
      <x:c r="B141" s="17" t="d">
        <x:v>2013-03-09T00:00:00.000Z</x:v>
      </x:c>
      <x:c r="C141" s="3" t="str">
        <x:v>2일 내 추가 학습</x:v>
      </x:c>
      <x:c r="D141" s="3" t="str">
        <x:v>멈춤-꾸준형</x:v>
      </x:c>
      <x:c r="E141" s="24" t="str">
        <x:v>멈춤-저활동형</x:v>
      </x:c>
      <x:c r="F141" s="29" t="n">
        <x:v>426</x:v>
      </x:c>
      <x:c r="G141" s="29" t="n">
        <x:v>1304</x:v>
      </x:c>
      <x:c r="H141" s="25" t="n">
        <x:v>0.5234741784037559</x:v>
      </x:c>
      <x:c r="I141" s="25" t="n">
        <x:v>0.3558282208588957</x:v>
      </x:c>
      <x:c r="J141" s="27" t="n">
        <x:f>(H141-I141)*100</x:f>
        <x:v>16.764595754486017</x:v>
      </x:c>
      <x:c r="K141" s="27" t="n">
        <x:v>11.337992837496035</x:v>
      </x:c>
      <x:c r="L141" s="27" t="n">
        <x:v>22.113636298023295</x:v>
      </x:c>
      <x:c r="M141" s="33" t="n">
        <x:v>5.543306594753257e-8</x:v>
      </x:c>
      <x:c r="N141" s="24" t="str">
        <x:v>유의</x:v>
      </x:c>
      <x:c r="O141" s="33" t="n">
        <x:v>8.273591932467557e-10</x:v>
      </x:c>
      <x:c r="P141" s="27" t="n">
        <x:v>-7.256231100349052</x:v>
      </x:c>
    </x:row>
    <x:row r="142" ht="24" customHeight="1">
      <x:c r="A142" s="3"/>
      <x:c r="B142" s="17" t="d">
        <x:v>2013-03-09T00:00:00.000Z</x:v>
      </x:c>
      <x:c r="C142" s="3" t="str">
        <x:v>2일 내 추가 학습</x:v>
      </x:c>
      <x:c r="D142" s="3" t="str">
        <x:v>멈춤-몰입형</x:v>
      </x:c>
      <x:c r="E142" s="24" t="str">
        <x:v>멈춤-저활동형</x:v>
      </x:c>
      <x:c r="F142" s="29" t="n">
        <x:v>602</x:v>
      </x:c>
      <x:c r="G142" s="29" t="n">
        <x:v>1304</x:v>
      </x:c>
      <x:c r="H142" s="25" t="n">
        <x:v>0.42358803986710963</x:v>
      </x:c>
      <x:c r="I142" s="25" t="n">
        <x:v>0.3558282208588957</x:v>
      </x:c>
      <x:c r="J142" s="27" t="n">
        <x:f>(H142-I142)*100</x:f>
        <x:v>6.775981900821392</x:v>
      </x:c>
      <x:c r="K142" s="27" t="n">
        <x:v>2.0790785179456956</x:v>
      </x:c>
      <x:c r="L142" s="27" t="n">
        <x:v>11.507147870153482</x:v>
      </x:c>
      <x:c r="M142" s="33" t="n">
        <x:v>0.1320065584028505</x:v>
      </x:c>
      <x:c r="N142" s="24" t="str">
        <x:v>유의하지 않음</x:v>
      </x:c>
      <x:c r="O142" s="33" t="n">
        <x:v>0.004551950289753465</x:v>
      </x:c>
      <x:c r="P142" s="27" t="n">
        <x:v>-0.8794044914652694</x:v>
      </x:c>
    </x:row>
    <x:row r="143" ht="24" customHeight="1">
      <x:c r="A143" s="3"/>
      <x:c r="B143" s="17" t="d">
        <x:v>2013-03-10T00:00:00.000Z</x:v>
      </x:c>
      <x:c r="C143" s="3" t="str">
        <x:v>D+1 학습</x:v>
      </x:c>
      <x:c r="D143" s="3" t="str">
        <x:v>꾸준형</x:v>
      </x:c>
      <x:c r="E143" s="24" t="str">
        <x:v>습관 형성형</x:v>
      </x:c>
      <x:c r="F143" s="29" t="n">
        <x:v>655</x:v>
      </x:c>
      <x:c r="G143" s="29" t="n">
        <x:v>971</x:v>
      </x:c>
      <x:c r="H143" s="25" t="n">
        <x:v>0.41374045801526715</x:v>
      </x:c>
      <x:c r="I143" s="25" t="n">
        <x:v>0.2749742533470649</x:v>
      </x:c>
      <x:c r="J143" s="27" t="n">
        <x:f>(H143-I143)*100</x:f>
        <x:v>13.876620466820228</x:v>
      </x:c>
      <x:c r="K143" s="27" t="n">
        <x:v>9.171449196163014</x:v>
      </x:c>
      <x:c r="L143" s="27" t="n">
        <x:v>18.556429469309375</x:v>
      </x:c>
      <x:c r="M143" s="33" t="n">
        <x:v>3.490679853130046e-7</x:v>
      </x:c>
      <x:c r="N143" s="24" t="str">
        <x:v>유의</x:v>
      </x:c>
      <x:c r="O143" s="33" t="n">
        <x:v>5.454187270515694e-9</x:v>
      </x:c>
      <x:c r="P143" s="27" t="n">
        <x:v>-6.457089980574175</x:v>
      </x:c>
    </x:row>
    <x:row r="144" ht="24" customHeight="1">
      <x:c r="A144" s="3"/>
      <x:c r="B144" s="17" t="d">
        <x:v>2013-03-10T00:00:00.000Z</x:v>
      </x:c>
      <x:c r="C144" s="3" t="str">
        <x:v>D+1 학습</x:v>
      </x:c>
      <x:c r="D144" s="3" t="str">
        <x:v>꾸준형</x:v>
      </x:c>
      <x:c r="E144" s="24" t="str">
        <x:v>최근 단발형</x:v>
      </x:c>
      <x:c r="F144" s="29" t="n">
        <x:v>655</x:v>
      </x:c>
      <x:c r="G144" s="29" t="n">
        <x:v>667</x:v>
      </x:c>
      <x:c r="H144" s="25" t="n">
        <x:v>0.41374045801526715</x:v>
      </x:c>
      <x:c r="I144" s="25" t="n">
        <x:v>0.24587706146926536</x:v>
      </x:c>
      <x:c r="J144" s="27" t="n">
        <x:f>(H144-I144)*100</x:f>
        <x:v>16.78633965460018</x:v>
      </x:c>
      <x:c r="K144" s="27" t="n">
        <x:v>11.74858608525137</x:v>
      </x:c>
      <x:c r="L144" s="27" t="n">
        <x:v>21.70944936634073</x:v>
      </x:c>
      <x:c r="M144" s="33" t="n">
        <x:v>5.829854807994824e-9</x:v>
      </x:c>
      <x:c r="N144" s="24" t="str">
        <x:v>유의</x:v>
      </x:c>
      <x:c r="O144" s="33" t="n">
        <x:v>8.328364011421182e-11</x:v>
      </x:c>
      <x:c r="P144" s="27" t="n">
        <x:v>-8.234342261170978</x:v>
      </x:c>
    </x:row>
    <x:row r="145" ht="24" customHeight="1">
      <x:c r="A145" s="3"/>
      <x:c r="B145" s="17" t="d">
        <x:v>2013-03-10T00:00:00.000Z</x:v>
      </x:c>
      <x:c r="C145" s="3" t="str">
        <x:v>D+1 학습</x:v>
      </x:c>
      <x:c r="D145" s="3" t="str">
        <x:v>꾸준형</x:v>
      </x:c>
      <x:c r="E145" s="24" t="str">
        <x:v>멈춤-꾸준형</x:v>
      </x:c>
      <x:c r="F145" s="29" t="n">
        <x:v>655</x:v>
      </x:c>
      <x:c r="G145" s="29" t="n">
        <x:v>267</x:v>
      </x:c>
      <x:c r="H145" s="25" t="n">
        <x:v>0.41374045801526715</x:v>
      </x:c>
      <x:c r="I145" s="25" t="n">
        <x:v>0.3408239700374532</x:v>
      </x:c>
      <x:c r="J145" s="27" t="n">
        <x:f>(H145-I145)*100</x:f>
        <x:v>7.291648797781397</x:v>
      </x:c>
      <x:c r="K145" s="27" t="n">
        <x:v>0.34274948274908984</x:v>
      </x:c>
      <x:c r="L145" s="27" t="n">
        <x:v>13.92052919472383</x:v>
      </x:c>
      <x:c r="M145" s="33" t="n">
        <x:v>0.7152964407341473</x:v>
      </x:c>
      <x:c r="N145" s="24" t="str">
        <x:v>유의하지 않음</x:v>
      </x:c>
      <x:c r="O145" s="33" t="n">
        <x:v>0.03973869115189708</x:v>
      </x:c>
      <x:c r="P145" s="27" t="n">
        <x:v>-0.145513935969641</x:v>
      </x:c>
    </x:row>
    <x:row r="146" ht="24" customHeight="1">
      <x:c r="A146" s="3"/>
      <x:c r="B146" s="17" t="d">
        <x:v>2013-03-10T00:00:00.000Z</x:v>
      </x:c>
      <x:c r="C146" s="3" t="str">
        <x:v>D+1 학습</x:v>
      </x:c>
      <x:c r="D146" s="3" t="str">
        <x:v>꾸준형</x:v>
      </x:c>
      <x:c r="E146" s="24" t="str">
        <x:v>멈춤-몰입형</x:v>
      </x:c>
      <x:c r="F146" s="29" t="n">
        <x:v>655</x:v>
      </x:c>
      <x:c r="G146" s="29" t="n">
        <x:v>484</x:v>
      </x:c>
      <x:c r="H146" s="25" t="n">
        <x:v>0.41374045801526715</x:v>
      </x:c>
      <x:c r="I146" s="25" t="n">
        <x:v>0.2644628099173554</x:v>
      </x:c>
      <x:c r="J146" s="27" t="n">
        <x:f>(H146-I146)*100</x:f>
        <x:v>14.927764809791178</x:v>
      </x:c>
      <x:c r="K146" s="27" t="n">
        <x:v>9.395212619289097</x:v>
      </x:c>
      <x:c r="L146" s="27" t="n">
        <x:v>20.262458417428178</x:v>
      </x:c>
      <x:c r="M146" s="33" t="n">
        <x:v>0.00001053786801880661</x:v>
      </x:c>
      <x:c r="N146" s="24" t="str">
        <x:v>유의</x:v>
      </x:c>
      <x:c r="O146" s="33" t="n">
        <x:v>1.7860793252214573e-7</x:v>
      </x:c>
      <x:c r="P146" s="27" t="n">
        <x:v>-4.977247245036616</x:v>
      </x:c>
    </x:row>
    <x:row r="147" ht="24" customHeight="1">
      <x:c r="A147" s="3"/>
      <x:c r="B147" s="17" t="d">
        <x:v>2013-03-10T00:00:00.000Z</x:v>
      </x:c>
      <x:c r="C147" s="3" t="str">
        <x:v>D+1 학습</x:v>
      </x:c>
      <x:c r="D147" s="3" t="str">
        <x:v>꾸준형</x:v>
      </x:c>
      <x:c r="E147" s="24" t="str">
        <x:v>멈춤-저활동형</x:v>
      </x:c>
      <x:c r="F147" s="29" t="n">
        <x:v>655</x:v>
      </x:c>
      <x:c r="G147" s="29" t="n">
        <x:v>1183</x:v>
      </x:c>
      <x:c r="H147" s="25" t="n">
        <x:v>0.41374045801526715</x:v>
      </x:c>
      <x:c r="I147" s="25" t="n">
        <x:v>0.18850380388841928</x:v>
      </x:c>
      <x:c r="J147" s="27" t="n">
        <x:f>(H147-I147)*100</x:f>
        <x:v>22.52366541268479</x:v>
      </x:c>
      <x:c r="K147" s="27" t="n">
        <x:v>18.14301034032266</x:v>
      </x:c>
      <x:c r="L147" s="27" t="n">
        <x:v>26.888122561188492</x:v>
      </x:c>
      <x:c r="M147" s="33" t="n">
        <x:v>1.6673930510977542e-23</x:v>
      </x:c>
      <x:c r="N147" s="24" t="str">
        <x:v>유의</x:v>
      </x:c>
      <x:c r="O147" s="33" t="n">
        <x:v>1.7738223947848468e-25</x:v>
      </x:c>
      <x:c r="P147" s="27" t="n">
        <x:v>-22.777962012768327</x:v>
      </x:c>
    </x:row>
    <x:row r="148" ht="24" customHeight="1">
      <x:c r="A148" s="3"/>
      <x:c r="B148" s="17" t="d">
        <x:v>2013-03-10T00:00:00.000Z</x:v>
      </x:c>
      <x:c r="C148" s="3" t="str">
        <x:v>D+1 학습</x:v>
      </x:c>
      <x:c r="D148" s="3" t="str">
        <x:v>습관 형성형</x:v>
      </x:c>
      <x:c r="E148" s="24" t="str">
        <x:v>최근 단발형</x:v>
      </x:c>
      <x:c r="F148" s="29" t="n">
        <x:v>971</x:v>
      </x:c>
      <x:c r="G148" s="29" t="n">
        <x:v>667</x:v>
      </x:c>
      <x:c r="H148" s="25" t="n">
        <x:v>0.2749742533470649</x:v>
      </x:c>
      <x:c r="I148" s="25" t="n">
        <x:v>0.24587706146926536</x:v>
      </x:c>
      <x:c r="J148" s="27" t="n">
        <x:f>(H148-I148)*100</x:f>
        <x:v>2.9097191877799524</x:v>
      </x:c>
      <x:c r="K148" s="27" t="n">
        <x:v>-1.4473440264917357</x:v>
      </x:c>
      <x:c r="L148" s="27" t="n">
        <x:v>7.161786032027176</x:v>
      </x:c>
      <x:c r="M148" s="33" t="n">
        <x:v>1</x:v>
      </x:c>
      <x:c r="N148" s="24" t="str">
        <x:v>유의하지 않음</x:v>
      </x:c>
      <x:c r="O148" s="33" t="n">
        <x:v>0.18885340971135528</x:v>
      </x:c>
      <x:c r="P148" s="27" t="n">
        <x:v>0</x:v>
      </x:c>
    </x:row>
    <x:row r="149" ht="24" customHeight="1">
      <x:c r="A149" s="3"/>
      <x:c r="B149" s="17" t="d">
        <x:v>2013-03-10T00:00:00.000Z</x:v>
      </x:c>
      <x:c r="C149" s="3" t="str">
        <x:v>D+1 학습</x:v>
      </x:c>
      <x:c r="D149" s="3" t="str">
        <x:v>습관 형성형</x:v>
      </x:c>
      <x:c r="E149" s="24" t="str">
        <x:v>멈춤-꾸준형</x:v>
      </x:c>
      <x:c r="F149" s="29" t="n">
        <x:v>971</x:v>
      </x:c>
      <x:c r="G149" s="29" t="n">
        <x:v>267</x:v>
      </x:c>
      <x:c r="H149" s="25" t="n">
        <x:v>0.2749742533470649</x:v>
      </x:c>
      <x:c r="I149" s="25" t="n">
        <x:v>0.3408239700374532</x:v>
      </x:c>
      <x:c r="J149" s="27" t="n">
        <x:f>(H149-I149)*100</x:f>
        <x:v>-6.584971669038831</x:v>
      </x:c>
      <x:c r="K149" s="27" t="n">
        <x:v>-13.057393203374284</x:v>
      </x:c>
      <x:c r="L149" s="27" t="n">
        <x:v>-0.43801156415120623</x:v>
      </x:c>
      <x:c r="M149" s="33" t="n">
        <x:v>0.675802946110278</x:v>
      </x:c>
      <x:c r="N149" s="24" t="str">
        <x:v>유의하지 않음</x:v>
      </x:c>
      <x:c r="O149" s="33" t="n">
        <x:v>0.03556857611106727</x:v>
      </x:c>
      <x:c r="P149" s="27" t="n">
        <x:v>-0.1701799192840465</x:v>
      </x:c>
    </x:row>
    <x:row r="150" ht="24" customHeight="1">
      <x:c r="A150" s="3"/>
      <x:c r="B150" s="17" t="d">
        <x:v>2013-03-10T00:00:00.000Z</x:v>
      </x:c>
      <x:c r="C150" s="3" t="str">
        <x:v>D+1 학습</x:v>
      </x:c>
      <x:c r="D150" s="3" t="str">
        <x:v>습관 형성형</x:v>
      </x:c>
      <x:c r="E150" s="24" t="str">
        <x:v>멈춤-몰입형</x:v>
      </x:c>
      <x:c r="F150" s="29" t="n">
        <x:v>971</x:v>
      </x:c>
      <x:c r="G150" s="29" t="n">
        <x:v>484</x:v>
      </x:c>
      <x:c r="H150" s="25" t="n">
        <x:v>0.2749742533470649</x:v>
      </x:c>
      <x:c r="I150" s="25" t="n">
        <x:v>0.2644628099173554</x:v>
      </x:c>
      <x:c r="J150" s="27" t="n">
        <x:f>(H150-I150)*100</x:f>
        <x:v>1.05114434297095</x:v>
      </x:c>
      <x:c r="K150" s="27" t="n">
        <x:v>-3.8696454887839287</x:v>
      </x:c>
      <x:c r="L150" s="27" t="n">
        <x:v>5.7736457036351805</x:v>
      </x:c>
      <x:c r="M150" s="33" t="n">
        <x:v>1</x:v>
      </x:c>
      <x:c r="N150" s="24" t="str">
        <x:v>유의하지 않음</x:v>
      </x:c>
      <x:c r="O150" s="33" t="n">
        <x:v>0.6709894936760135</x:v>
      </x:c>
      <x:c r="P150" s="27" t="n">
        <x:v>0</x:v>
      </x:c>
    </x:row>
    <x:row r="151" ht="24" customHeight="1">
      <x:c r="A151" s="3"/>
      <x:c r="B151" s="17" t="d">
        <x:v>2013-03-10T00:00:00.000Z</x:v>
      </x:c>
      <x:c r="C151" s="3" t="str">
        <x:v>D+1 학습</x:v>
      </x:c>
      <x:c r="D151" s="3" t="str">
        <x:v>습관 형성형</x:v>
      </x:c>
      <x:c r="E151" s="24" t="str">
        <x:v>멈춤-저활동형</x:v>
      </x:c>
      <x:c r="F151" s="29" t="n">
        <x:v>971</x:v>
      </x:c>
      <x:c r="G151" s="29" t="n">
        <x:v>1183</x:v>
      </x:c>
      <x:c r="H151" s="25" t="n">
        <x:v>0.2749742533470649</x:v>
      </x:c>
      <x:c r="I151" s="25" t="n">
        <x:v>0.18850380388841928</x:v>
      </x:c>
      <x:c r="J151" s="27" t="n">
        <x:f>(H151-I151)*100</x:f>
        <x:v>8.64704494586456</x:v>
      </x:c>
      <x:c r="K151" s="27" t="n">
        <x:v>5.070010183567039</x:v>
      </x:c>
      <x:c r="L151" s="27" t="n">
        <x:v>12.237525333673066</x:v>
      </x:c>
      <x:c r="M151" s="33" t="n">
        <x:v>0.00009707834083909755</x:v>
      </x:c>
      <x:c r="N151" s="24" t="str">
        <x:v>유의</x:v>
      </x:c>
      <x:c r="O151" s="33" t="n">
        <x:v>0.0000019034968791979904</x:v>
      </x:c>
      <x:c r="P151" s="27" t="n">
        <x:v>-4.012877654781203</x:v>
      </x:c>
    </x:row>
    <x:row r="152" ht="24" customHeight="1">
      <x:c r="A152" s="3"/>
      <x:c r="B152" s="17" t="d">
        <x:v>2013-03-10T00:00:00.000Z</x:v>
      </x:c>
      <x:c r="C152" s="3" t="str">
        <x:v>D+1 학습</x:v>
      </x:c>
      <x:c r="D152" s="3" t="str">
        <x:v>최근 단발형</x:v>
      </x:c>
      <x:c r="E152" s="24" t="str">
        <x:v>멈춤-꾸준형</x:v>
      </x:c>
      <x:c r="F152" s="29" t="n">
        <x:v>667</x:v>
      </x:c>
      <x:c r="G152" s="29" t="n">
        <x:v>267</x:v>
      </x:c>
      <x:c r="H152" s="25" t="n">
        <x:v>0.24587706146926536</x:v>
      </x:c>
      <x:c r="I152" s="25" t="n">
        <x:v>0.3408239700374532</x:v>
      </x:c>
      <x:c r="J152" s="27" t="n">
        <x:f>(H152-I152)*100</x:f>
        <x:v>-9.494690856818783</x:v>
      </x:c>
      <x:c r="K152" s="27" t="n">
        <x:v>-16.14515230337909</x:v>
      </x:c>
      <x:c r="L152" s="27" t="n">
        <x:v>-3.089580173126523</x:v>
      </x:c>
      <x:c r="M152" s="33" t="n">
        <x:v>0.10081448135097798</x:v>
      </x:c>
      <x:c r="N152" s="24" t="str">
        <x:v>유의하지 않음</x:v>
      </x:c>
      <x:c r="O152" s="33" t="n">
        <x:v>0.003252080043579935</x:v>
      </x:c>
      <x:c r="P152" s="27" t="n">
        <x:v>-0.9964770798041921</x:v>
      </x:c>
    </x:row>
    <x:row r="153" ht="24" customHeight="1">
      <x:c r="A153" s="3"/>
      <x:c r="B153" s="17" t="d">
        <x:v>2013-03-10T00:00:00.000Z</x:v>
      </x:c>
      <x:c r="C153" s="3" t="str">
        <x:v>D+1 학습</x:v>
      </x:c>
      <x:c r="D153" s="3" t="str">
        <x:v>최근 단발형</x:v>
      </x:c>
      <x:c r="E153" s="24" t="str">
        <x:v>멈춤-몰입형</x:v>
      </x:c>
      <x:c r="F153" s="29" t="n">
        <x:v>667</x:v>
      </x:c>
      <x:c r="G153" s="29" t="n">
        <x:v>484</x:v>
      </x:c>
      <x:c r="H153" s="25" t="n">
        <x:v>0.24587706146926536</x:v>
      </x:c>
      <x:c r="I153" s="25" t="n">
        <x:v>0.2644628099173554</x:v>
      </x:c>
      <x:c r="J153" s="27" t="n">
        <x:f>(H153-I153)*100</x:f>
        <x:v>-1.8585748448090023</x:v>
      </x:c>
      <x:c r="K153" s="27" t="n">
        <x:v>-7.011299318556641</x:v>
      </x:c>
      <x:c r="L153" s="27" t="n">
        <x:v>3.195368510705003</x:v>
      </x:c>
      <x:c r="M153" s="33" t="n">
        <x:v>1</x:v>
      </x:c>
      <x:c r="N153" s="24" t="str">
        <x:v>유의하지 않음</x:v>
      </x:c>
      <x:c r="O153" s="33" t="n">
        <x:v>0.47439613214738297</x:v>
      </x:c>
      <x:c r="P153" s="27" t="n">
        <x:v>0</x:v>
      </x:c>
    </x:row>
    <x:row r="154" ht="24" customHeight="1">
      <x:c r="A154" s="3"/>
      <x:c r="B154" s="17" t="d">
        <x:v>2013-03-10T00:00:00.000Z</x:v>
      </x:c>
      <x:c r="C154" s="3" t="str">
        <x:v>D+1 학습</x:v>
      </x:c>
      <x:c r="D154" s="3" t="str">
        <x:v>최근 단발형</x:v>
      </x:c>
      <x:c r="E154" s="24" t="str">
        <x:v>멈춤-저활동형</x:v>
      </x:c>
      <x:c r="F154" s="29" t="n">
        <x:v>667</x:v>
      </x:c>
      <x:c r="G154" s="29" t="n">
        <x:v>1183</x:v>
      </x:c>
      <x:c r="H154" s="25" t="n">
        <x:v>0.24587706146926536</x:v>
      </x:c>
      <x:c r="I154" s="25" t="n">
        <x:v>0.18850380388841928</x:v>
      </x:c>
      <x:c r="J154" s="27" t="n">
        <x:f>(H154-I154)*100</x:f>
        <x:v>5.737325758084608</x:v>
      </x:c>
      <x:c r="K154" s="27" t="n">
        <x:v>1.847393287624413</x:v>
      </x:c>
      <x:c r="L154" s="27" t="n">
        <x:v>9.75377615047167</x:v>
      </x:c>
      <x:c r="M154" s="33" t="n">
        <x:v>0.10731735715063653</x:v>
      </x:c>
      <x:c r="N154" s="24" t="str">
        <x:v>유의하지 않음</x:v>
      </x:c>
      <x:c r="O154" s="33" t="n">
        <x:v>0.0035772452383545507</x:v>
      </x:c>
      <x:c r="P154" s="27" t="n">
        <x:v>-0.9693300310152659</x:v>
      </x:c>
    </x:row>
    <x:row r="155" ht="24" customHeight="1">
      <x:c r="A155" s="3"/>
      <x:c r="B155" s="17" t="d">
        <x:v>2013-03-10T00:00:00.000Z</x:v>
      </x:c>
      <x:c r="C155" s="3" t="str">
        <x:v>D+1 학습</x:v>
      </x:c>
      <x:c r="D155" s="3" t="str">
        <x:v>멈춤-꾸준형</x:v>
      </x:c>
      <x:c r="E155" s="24" t="str">
        <x:v>멈춤-몰입형</x:v>
      </x:c>
      <x:c r="F155" s="29" t="n">
        <x:v>267</x:v>
      </x:c>
      <x:c r="G155" s="29" t="n">
        <x:v>484</x:v>
      </x:c>
      <x:c r="H155" s="25" t="n">
        <x:v>0.3408239700374532</x:v>
      </x:c>
      <x:c r="I155" s="25" t="n">
        <x:v>0.2644628099173554</x:v>
      </x:c>
      <x:c r="J155" s="27" t="n">
        <x:f>(H155-I155)*100</x:f>
        <x:v>7.63611601200978</x:v>
      </x:c>
      <x:c r="K155" s="27" t="n">
        <x:v>0.8349679041171578</x:v>
      </x:c>
      <x:c r="L155" s="27" t="n">
        <x:v>14.596761391980948</x:v>
      </x:c>
      <x:c r="M155" s="33" t="n">
        <x:v>0.5577121991971725</x:v>
      </x:c>
      <x:c r="N155" s="24" t="str">
        <x:v>유의하지 않음</x:v>
      </x:c>
      <x:c r="O155" s="33" t="n">
        <x:v>0.027531006554495134</x:v>
      </x:c>
      <x:c r="P155" s="27" t="n">
        <x:v>-0.25358985580237564</x:v>
      </x:c>
    </x:row>
    <x:row r="156" ht="24" customHeight="1">
      <x:c r="A156" s="3"/>
      <x:c r="B156" s="17" t="d">
        <x:v>2013-03-10T00:00:00.000Z</x:v>
      </x:c>
      <x:c r="C156" s="3" t="str">
        <x:v>D+1 학습</x:v>
      </x:c>
      <x:c r="D156" s="3" t="str">
        <x:v>멈춤-꾸준형</x:v>
      </x:c>
      <x:c r="E156" s="24" t="str">
        <x:v>멈춤-저활동형</x:v>
      </x:c>
      <x:c r="F156" s="29" t="n">
        <x:v>267</x:v>
      </x:c>
      <x:c r="G156" s="29" t="n">
        <x:v>1183</x:v>
      </x:c>
      <x:c r="H156" s="25" t="n">
        <x:v>0.3408239700374532</x:v>
      </x:c>
      <x:c r="I156" s="25" t="n">
        <x:v>0.18850380388841928</x:v>
      </x:c>
      <x:c r="J156" s="27" t="n">
        <x:f>(H156-I156)*100</x:f>
        <x:v>15.23201661490339</x:v>
      </x:c>
      <x:c r="K156" s="27" t="n">
        <x:v>9.329761053859453</x:v>
      </x:c>
      <x:c r="L156" s="27" t="n">
        <x:v>21.480225511817448</x:v>
      </x:c>
      <x:c r="M156" s="33" t="n">
        <x:v>0.0000028887800210913945</x:v>
      </x:c>
      <x:c r="N156" s="24" t="str">
        <x:v>유의</x:v>
      </x:c>
      <x:c r="O156" s="33" t="n">
        <x:v>4.814633368485654e-8</x:v>
      </x:c>
      <x:c r="P156" s="27" t="n">
        <x:v>-5.5392855281674125</x:v>
      </x:c>
    </x:row>
    <x:row r="157" ht="24" customHeight="1">
      <x:c r="A157" s="3"/>
      <x:c r="B157" s="17" t="d">
        <x:v>2013-03-10T00:00:00.000Z</x:v>
      </x:c>
      <x:c r="C157" s="3" t="str">
        <x:v>D+1 학습</x:v>
      </x:c>
      <x:c r="D157" s="3" t="str">
        <x:v>멈춤-몰입형</x:v>
      </x:c>
      <x:c r="E157" s="24" t="str">
        <x:v>멈춤-저활동형</x:v>
      </x:c>
      <x:c r="F157" s="29" t="n">
        <x:v>484</x:v>
      </x:c>
      <x:c r="G157" s="29" t="n">
        <x:v>1183</x:v>
      </x:c>
      <x:c r="H157" s="25" t="n">
        <x:v>0.2644628099173554</x:v>
      </x:c>
      <x:c r="I157" s="25" t="n">
        <x:v>0.18850380388841928</x:v>
      </x:c>
      <x:c r="J157" s="27" t="n">
        <x:f>(H157-I157)*100</x:f>
        <x:v>7.59590060289361</x:v>
      </x:c>
      <x:c r="K157" s="27" t="n">
        <x:v>3.19663688287528</x:v>
      </x:c>
      <x:c r="L157" s="27" t="n">
        <x:v>12.21780999941458</x:v>
      </x:c>
      <x:c r="M157" s="33" t="n">
        <x:v>0.021076691116323456</x:v>
      </x:c>
      <x:c r="N157" s="24" t="str">
        <x:v>유의</x:v>
      </x:c>
      <x:c r="O157" s="33" t="n">
        <x:v>0.0005546497662190385</x:v>
      </x:c>
      <x:c r="P157" s="27" t="n">
        <x:v>-1.67619756911023</x:v>
      </x:c>
    </x:row>
    <x:row r="158" ht="24" customHeight="1">
      <x:c r="A158" s="3"/>
      <x:c r="B158" s="3"/>
      <x:c r="C158" s="3"/>
      <x:c r="D158" s="3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</x:row>
    <x:row r="159" ht="24" customHeight="1">
      <x:c r="A159" s="3"/>
      <x:c r="B159" s="3"/>
      <x:c r="C159" s="3"/>
      <x:c r="D159" s="3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</x:row>
    <x:row r="160" ht="24" customHeight="1">
      <x:c r="A160" s="3"/>
      <x:c r="B160" s="3"/>
      <x:c r="C160" s="3"/>
      <x:c r="D160" s="3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</x:row>
    <x:row r="161" ht="24" customHeight="1">
      <x:c r="A161" s="3"/>
      <x:c r="B161" s="3"/>
      <x:c r="C161" s="3"/>
      <x:c r="D161" s="3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</x:row>
    <x:row r="162" ht="24" customHeight="1">
      <x:c r="A162" s="3"/>
      <x:c r="B162" s="3"/>
      <x:c r="C162" s="3"/>
      <x:c r="D162" s="3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</x:row>
  </x:sheetData>
  <x:conditionalFormatting sqref="N8:N157">
    <x:cfRule type="containsText" dxfId="0" priority="1" operator="containsText" text="유의하지 않음"/>
  </x:conditionalFormatting>
  <x:pageMargins left="0.7" right="0.7" top="0.75" bottom="0.75" header="0.3" footer="0.3"/>
</x:worksheet>
</file>