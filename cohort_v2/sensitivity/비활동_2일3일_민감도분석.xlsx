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e89248592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종료일 비교" sheetId="1" r:id="Rd4cddb31f8314537"/>
    <x:sheet xmlns:r="http://schemas.openxmlformats.org/officeDocument/2006/relationships" name="날짜별 신호" sheetId="2" r:id="Rf9dfbc17afa8418b"/>
    <x:sheet xmlns:r="http://schemas.openxmlformats.org/officeDocument/2006/relationships" name="다음날 재학습" sheetId="3" r:id="R17340b00dc7f4b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0.00"/>
    <x:numFmt numFmtId="203" formatCode="0"/>
    <x:numFmt numFmtId="204" formatCode="yyyy-mm-dd"/>
  </x:numFmts>
  <x:fonts count="4">
    <x:font>
      <x:sz val="11"/>
      <x:name val="Carlito"/>
    </x:font>
    <x:font>
      <x:sz val="10"/>
      <x:color rgb="FF24364B"/>
      <x:name val="Malgun Gothic"/>
    </x:font>
    <x:font>
      <x:b/>
      <x:sz val="15"/>
      <x:color rgb="FF334B68"/>
      <x:name val="Malgun Gothic"/>
    </x:font>
    <x:font>
      <x:b/>
      <x:sz val="10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334B68"/>
      </x:patternFill>
    </x:fill>
    <x:fill>
      <x:patternFill patternType="solid">
        <x:fgColor rgb="FFEDF2F7"/>
      </x:patternFill>
    </x:fill>
    <x:fill>
      <x:patternFill patternType="solid">
        <x:fgColor rgb="FFF1F3F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CD6E0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d313e19ec4639" /><Relationship Type="http://schemas.openxmlformats.org/officeDocument/2006/relationships/theme" Target="/xl/theme/theme1.xml" Id="Re7b7c8a35bbe40c6" /><Relationship Type="http://schemas.openxmlformats.org/officeDocument/2006/relationships/sharedStrings" Target="/xl/sharedStrings.xml" Id="R542cb7fd425347d6" /><Relationship Type="http://schemas.openxmlformats.org/officeDocument/2006/relationships/worksheet" Target="/xl/worksheets/sheet1.xml" Id="Rd4cddb31f8314537" /><Relationship Type="http://schemas.openxmlformats.org/officeDocument/2006/relationships/worksheet" Target="/xl/worksheets/sheet2.xml" Id="Rf9dfbc17afa8418b" /><Relationship Type="http://schemas.openxmlformats.org/officeDocument/2006/relationships/worksheet" Target="/xl/worksheets/sheet3.xml" Id="R17340b00dc7f4b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4B68"/>
  </x:sheetPr>
  <x:sheetViews>
    <x:sheetView showGridLines="0" workbookViewId="0"/>
  </x:sheetViews>
  <x:sheetFormatPr defaultRowHeight="15"/>
  <x:cols>
    <x:col min="1" max="1" width="3" hidden="0" customWidth="1"/>
    <x:col min="2" max="2" width="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2"/>
      <x:c r="B2" s="4" t="str">
        <x:v>2일·3일 비활동 기준 민감도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3" ht="25" customHeight="1">
      <x:c r="A3" s="2"/>
      <x:c r="B3" s="2" t="str">
        <x:v>2013.03.11 종료 시점 / 기준집단 82,467명 / 연속 UTC 달력 날짜 / 분석 2026.10.13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2"/>
      <x:c r="B4" s="2" t="str">
        <x:v>2일 기준으로 4,798명 추가 (+5.82%p). 종료일의 인원 순위와 비활동률 순위는 유지됨.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 ht="25" customHeight="1">
      <x:c r="A5" s="2"/>
      <x:c r="B5" s="2" t="str">
        <x:v>비활동은 기록 부재의 운영 신호이며 영구 이탈 판정이 아님. 3일 집단은 2일 집단의 부분집합.</x:v>
      </x:c>
      <x:c r="C5" s="2"/>
      <x:c r="D5" s="2"/>
      <x:c r="E5" s="2"/>
      <x:c r="F5" s="2"/>
      <x:c r="G5" s="2"/>
      <x:c r="H5" s="2"/>
      <x:c r="I5" s="2"/>
      <x:c r="J5" s="2"/>
      <x:c r="K5" s="2"/>
    </x:row>
    <x:row r="6" ht="25" customHeight="1">
      <x:c r="A6" s="2"/>
      <x:c r="B6" s="2" t="str">
        <x:v>입력: v3 사용자별 활동·마지막 학습일 재계산. 원천 파일 및 해시는 sensitivity_results.json에 기록.</x:v>
      </x:c>
      <x:c r="C6" s="2"/>
      <x:c r="D6" s="2"/>
      <x:c r="E6" s="2"/>
      <x:c r="F6" s="2"/>
      <x:c r="G6" s="2"/>
      <x:c r="H6" s="2"/>
      <x:c r="I6" s="2"/>
      <x:c r="J6" s="2"/>
      <x:c r="K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1" customHeight="1">
      <x:c r="A8" s="2"/>
      <x:c r="B8" s="7" t="str">
        <x:v>세그먼트</x:v>
      </x:c>
      <x:c r="C8" s="7" t="str">
        <x:v>기준 인원</x:v>
      </x:c>
      <x:c r="D8" s="7" t="str">
        <x:v>3일 이상</x:v>
      </x:c>
      <x:c r="E8" s="7" t="str">
        <x:v>3일 비율</x:v>
      </x:c>
      <x:c r="F8" s="7" t="str">
        <x:v>2일 이상</x:v>
      </x:c>
      <x:c r="G8" s="7" t="str">
        <x:v>2일 비율</x:v>
      </x:c>
      <x:c r="H8" s="7" t="str">
        <x:v>추가 인원</x:v>
      </x:c>
      <x:c r="I8" s="7" t="str">
        <x:v>증가 %p</x:v>
      </x:c>
      <x:c r="J8" s="7" t="str">
        <x:v>대상 증가율</x:v>
      </x:c>
      <x:c r="K8" s="2"/>
    </x:row>
    <x:row r="9" ht="25" customHeight="1">
      <x:c r="A9" s="2"/>
      <x:c r="B9" s="11" t="str">
        <x:v>전체</x:v>
      </x:c>
      <x:c r="C9" s="12" t="n">
        <x:v>82467</x:v>
      </x:c>
      <x:c r="D9" s="12" t="n">
        <x:v>58758</x:v>
      </x:c>
      <x:c r="E9" s="13" t="n">
        <x:f>D9/C9</x:f>
        <x:v>0.7125031830914184</x:v>
      </x:c>
      <x:c r="F9" s="12" t="n">
        <x:v>63556</x:v>
      </x:c>
      <x:c r="G9" s="13" t="n">
        <x:f>F9/C9</x:f>
        <x:v>0.7706840311882329</x:v>
      </x:c>
      <x:c r="H9" s="12" t="n">
        <x:f>F9-D9</x:f>
        <x:v>4798</x:v>
      </x:c>
      <x:c r="I9" s="14" t="n">
        <x:f>(G9-E9)*100</x:f>
        <x:v>5.818084809681457</x:v>
      </x:c>
      <x:c r="J9" s="13" t="n">
        <x:f>H9/D9</x:f>
        <x:v>0.081656965859968</x:v>
      </x:c>
      <x:c r="K9" s="2"/>
    </x:row>
    <x:row r="10" ht="25" customHeight="1">
      <x:c r="A10" s="2"/>
      <x:c r="B10" s="2" t="str">
        <x:v>꾸준형</x:v>
      </x:c>
      <x:c r="C10" s="8" t="n">
        <x:v>8882</x:v>
      </x:c>
      <x:c r="D10" s="8" t="n">
        <x:v>2559</x:v>
      </x:c>
      <x:c r="E10" s="9" t="n">
        <x:f>D10/C10</x:f>
        <x:v>0.28811078585904076</x:v>
      </x:c>
      <x:c r="F10" s="8" t="n">
        <x:v>3370</x:v>
      </x:c>
      <x:c r="G10" s="9" t="n">
        <x:f>F10/C10</x:f>
        <x:v>0.3794190497635668</x:v>
      </x:c>
      <x:c r="H10" s="8" t="n">
        <x:f>F10-D10</x:f>
        <x:v>811</x:v>
      </x:c>
      <x:c r="I10" s="10" t="n">
        <x:f>(G10-E10)*100</x:f>
        <x:v>9.1308263904526</x:v>
      </x:c>
      <x:c r="J10" s="9" t="n">
        <x:f>H10/D10</x:f>
        <x:v>0.3169206721375537</x:v>
      </x:c>
      <x:c r="K10" s="2"/>
    </x:row>
    <x:row r="11" ht="25" customHeight="1">
      <x:c r="A11" s="2"/>
      <x:c r="B11" s="2" t="str">
        <x:v>습관 형성형</x:v>
      </x:c>
      <x:c r="C11" s="8" t="n">
        <x:v>14583</x:v>
      </x:c>
      <x:c r="D11" s="8" t="n">
        <x:v>8549</x:v>
      </x:c>
      <x:c r="E11" s="9" t="n">
        <x:f>D11/C11</x:f>
        <x:v>0.586230542412398</x:v>
      </x:c>
      <x:c r="F11" s="8" t="n">
        <x:v>9830</x:v>
      </x:c>
      <x:c r="G11" s="9" t="n">
        <x:f>F11/C11</x:f>
        <x:v>0.6740725502297196</x:v>
      </x:c>
      <x:c r="H11" s="8" t="n">
        <x:f>F11-D11</x:f>
        <x:v>1281</x:v>
      </x:c>
      <x:c r="I11" s="10" t="n">
        <x:f>(G11-E11)*100</x:f>
        <x:v>8.784200781732155</x:v>
      </x:c>
      <x:c r="J11" s="9" t="n">
        <x:f>H11/D11</x:f>
        <x:v>0.14984208679377706</x:v>
      </x:c>
      <x:c r="K11" s="2"/>
    </x:row>
    <x:row r="12" ht="25" customHeight="1">
      <x:c r="A12" s="2"/>
      <x:c r="B12" s="2" t="str">
        <x:v>최근 단발형</x:v>
      </x:c>
      <x:c r="C12" s="8" t="n">
        <x:v>15402</x:v>
      </x:c>
      <x:c r="D12" s="8" t="n">
        <x:v>11734</x:v>
      </x:c>
      <x:c r="E12" s="9" t="n">
        <x:f>D12/C12</x:f>
        <x:v>0.7618491105051292</x:v>
      </x:c>
      <x:c r="F12" s="8" t="n">
        <x:v>12656</x:v>
      </x:c>
      <x:c r="G12" s="9" t="n">
        <x:f>F12/C12</x:f>
        <x:v>0.821711466043371</x:v>
      </x:c>
      <x:c r="H12" s="8" t="n">
        <x:f>F12-D12</x:f>
        <x:v>922</x:v>
      </x:c>
      <x:c r="I12" s="10" t="n">
        <x:f>(G12-E12)*100</x:f>
        <x:v>5.986235553824182</x:v>
      </x:c>
      <x:c r="J12" s="9" t="n">
        <x:f>H12/D12</x:f>
        <x:v>0.07857508096130901</x:v>
      </x:c>
      <x:c r="K12" s="2"/>
    </x:row>
    <x:row r="13" ht="25" customHeight="1">
      <x:c r="A13" s="2"/>
      <x:c r="B13" s="2" t="str">
        <x:v>멈춤-꾸준형</x:v>
      </x:c>
      <x:c r="C13" s="8" t="n">
        <x:v>3627</x:v>
      </x:c>
      <x:c r="D13" s="8" t="n">
        <x:v>2207</x:v>
      </x:c>
      <x:c r="E13" s="9" t="n">
        <x:f>D13/C13</x:f>
        <x:v>0.6084918665563827</x:v>
      </x:c>
      <x:c r="F13" s="8" t="n">
        <x:v>2512</x:v>
      </x:c>
      <x:c r="G13" s="9" t="n">
        <x:f>F13/C13</x:f>
        <x:v>0.6925834022608216</x:v>
      </x:c>
      <x:c r="H13" s="8" t="n">
        <x:f>F13-D13</x:f>
        <x:v>305</x:v>
      </x:c>
      <x:c r="I13" s="10" t="n">
        <x:f>(G13-E13)*100</x:f>
        <x:v>8.409153570443895</x:v>
      </x:c>
      <x:c r="J13" s="9" t="n">
        <x:f>H13/D13</x:f>
        <x:v>0.13819664703217036</x:v>
      </x:c>
      <x:c r="K13" s="2"/>
    </x:row>
    <x:row r="14" ht="25" customHeight="1">
      <x:c r="A14" s="2"/>
      <x:c r="B14" s="2" t="str">
        <x:v>멈춤-몰입형</x:v>
      </x:c>
      <x:c r="C14" s="8" t="n">
        <x:v>9303</x:v>
      </x:c>
      <x:c r="D14" s="8" t="n">
        <x:v>7313</x:v>
      </x:c>
      <x:c r="E14" s="9" t="n">
        <x:f>D14/C14</x:f>
        <x:v>0.7860905084381382</x:v>
      </x:c>
      <x:c r="F14" s="8" t="n">
        <x:v>7775</x:v>
      </x:c>
      <x:c r="G14" s="9" t="n">
        <x:f>F14/C14</x:f>
        <x:v>0.835751907986671</x:v>
      </x:c>
      <x:c r="H14" s="8" t="n">
        <x:f>F14-D14</x:f>
        <x:v>462</x:v>
      </x:c>
      <x:c r="I14" s="10" t="n">
        <x:f>(G14-E14)*100</x:f>
        <x:v>4.966139954853277</x:v>
      </x:c>
      <x:c r="J14" s="9" t="n">
        <x:f>H14/D14</x:f>
        <x:v>0.06317516750991385</x:v>
      </x:c>
      <x:c r="K14" s="2"/>
    </x:row>
    <x:row r="15" ht="25" customHeight="1">
      <x:c r="A15" s="2"/>
      <x:c r="B15" s="2" t="str">
        <x:v>멈춤-저활동형</x:v>
      </x:c>
      <x:c r="C15" s="8" t="n">
        <x:v>30670</x:v>
      </x:c>
      <x:c r="D15" s="8" t="n">
        <x:v>26396</x:v>
      </x:c>
      <x:c r="E15" s="9" t="n">
        <x:f>D15/C15</x:f>
        <x:v>0.8606455820019563</x:v>
      </x:c>
      <x:c r="F15" s="8" t="n">
        <x:v>27413</x:v>
      </x:c>
      <x:c r="G15" s="9" t="n">
        <x:f>F15/C15</x:f>
        <x:v>0.8938050211933486</x:v>
      </x:c>
      <x:c r="H15" s="8" t="n">
        <x:f>F15-D15</x:f>
        <x:v>1017</x:v>
      </x:c>
      <x:c r="I15" s="10" t="n">
        <x:f>(G15-E15)*100</x:f>
        <x:v>3.3159439191392304</x:v>
      </x:c>
      <x:c r="J15" s="9" t="n">
        <x:f>H15/D15</x:f>
        <x:v>0.03852856493408092</x:v>
      </x:c>
      <x:c r="K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5" customHeight="1">
      <x:c r="A18" s="2"/>
      <x:c r="B18" s="2" t="str">
        <x:v>인원과 비율의 순위를 각각 비교</x:v>
      </x:c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31" customHeight="1">
      <x:c r="A19" s="2"/>
      <x:c r="B19" s="7" t="str">
        <x:v>세그먼트</x:v>
      </x:c>
      <x:c r="C19" s="7" t="str">
        <x:v>3일 인원 순위</x:v>
      </x:c>
      <x:c r="D19" s="7" t="str">
        <x:v>2일 인원 순위</x:v>
      </x:c>
      <x:c r="E19" s="7" t="str">
        <x:v>3일 비율 순위</x:v>
      </x:c>
      <x:c r="F19" s="7" t="str">
        <x:v>2일 비율 순위</x:v>
      </x:c>
      <x:c r="G19" s="2"/>
      <x:c r="H19" s="2"/>
      <x:c r="I19" s="2"/>
      <x:c r="J19" s="2"/>
      <x:c r="K19" s="2"/>
    </x:row>
    <x:row r="20" ht="25" customHeight="1">
      <x:c r="A20" s="2"/>
      <x:c r="B20" s="2" t="str">
        <x:v>꾸준형</x:v>
      </x:c>
      <x:c r="C20" s="15" t="n">
        <x:v>5</x:v>
      </x:c>
      <x:c r="D20" s="15" t="n">
        <x:v>5</x:v>
      </x:c>
      <x:c r="E20" s="15" t="n">
        <x:v>6</x:v>
      </x:c>
      <x:c r="F20" s="15" t="n">
        <x:v>6</x:v>
      </x:c>
      <x:c r="G20" s="2"/>
      <x:c r="H20" s="2"/>
      <x:c r="I20" s="2"/>
      <x:c r="J20" s="2"/>
      <x:c r="K20" s="2"/>
    </x:row>
    <x:row r="21" ht="25" customHeight="1">
      <x:c r="A21" s="2"/>
      <x:c r="B21" s="2" t="str">
        <x:v>습관 형성형</x:v>
      </x:c>
      <x:c r="C21" s="15" t="n">
        <x:v>3</x:v>
      </x:c>
      <x:c r="D21" s="15" t="n">
        <x:v>3</x:v>
      </x:c>
      <x:c r="E21" s="15" t="n">
        <x:v>5</x:v>
      </x:c>
      <x:c r="F21" s="15" t="n">
        <x:v>5</x:v>
      </x:c>
      <x:c r="G21" s="2"/>
      <x:c r="H21" s="2"/>
      <x:c r="I21" s="2"/>
      <x:c r="J21" s="2"/>
      <x:c r="K21" s="2"/>
    </x:row>
    <x:row r="22" ht="25" customHeight="1">
      <x:c r="A22" s="2"/>
      <x:c r="B22" s="2" t="str">
        <x:v>최근 단발형</x:v>
      </x:c>
      <x:c r="C22" s="15" t="n">
        <x:v>2</x:v>
      </x:c>
      <x:c r="D22" s="15" t="n">
        <x:v>2</x:v>
      </x:c>
      <x:c r="E22" s="15" t="n">
        <x:v>3</x:v>
      </x:c>
      <x:c r="F22" s="15" t="n">
        <x:v>3</x:v>
      </x:c>
      <x:c r="G22" s="2"/>
      <x:c r="H22" s="2"/>
      <x:c r="I22" s="2"/>
      <x:c r="J22" s="2"/>
      <x:c r="K22" s="2"/>
    </x:row>
    <x:row r="23" ht="25" customHeight="1">
      <x:c r="A23" s="2"/>
      <x:c r="B23" s="2" t="str">
        <x:v>멈춤-꾸준형</x:v>
      </x:c>
      <x:c r="C23" s="15" t="n">
        <x:v>6</x:v>
      </x:c>
      <x:c r="D23" s="15" t="n">
        <x:v>6</x:v>
      </x:c>
      <x:c r="E23" s="15" t="n">
        <x:v>4</x:v>
      </x:c>
      <x:c r="F23" s="15" t="n">
        <x:v>4</x:v>
      </x:c>
      <x:c r="G23" s="2"/>
      <x:c r="H23" s="2"/>
      <x:c r="I23" s="2"/>
      <x:c r="J23" s="2"/>
      <x:c r="K23" s="2"/>
    </x:row>
    <x:row r="24" ht="25" customHeight="1">
      <x:c r="A24" s="2"/>
      <x:c r="B24" s="2" t="str">
        <x:v>멈춤-몰입형</x:v>
      </x:c>
      <x:c r="C24" s="15" t="n">
        <x:v>4</x:v>
      </x:c>
      <x:c r="D24" s="15" t="n">
        <x:v>4</x:v>
      </x:c>
      <x:c r="E24" s="15" t="n">
        <x:v>2</x:v>
      </x:c>
      <x:c r="F24" s="15" t="n">
        <x:v>2</x:v>
      </x:c>
      <x:c r="G24" s="2"/>
      <x:c r="H24" s="2"/>
      <x:c r="I24" s="2"/>
      <x:c r="J24" s="2"/>
      <x:c r="K24" s="2"/>
    </x:row>
    <x:row r="25" ht="25" customHeight="1">
      <x:c r="A25" s="2"/>
      <x:c r="B25" s="2" t="str">
        <x:v>멈춤-저활동형</x:v>
      </x:c>
      <x:c r="C25" s="15" t="n">
        <x:v>1</x:v>
      </x:c>
      <x:c r="D25" s="15" t="n">
        <x:v>1</x:v>
      </x:c>
      <x:c r="E25" s="15" t="n">
        <x:v>1</x:v>
      </x:c>
      <x:c r="F25" s="15" t="n">
        <x:v>1</x:v>
      </x:c>
      <x:c r="G25" s="2"/>
      <x:c r="H25" s="2"/>
      <x:c r="I25" s="2"/>
      <x:c r="J25" s="2"/>
      <x:c r="K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5" customHeight="1">
      <x:c r="A27" s="2"/>
      <x:c r="B27" s="2" t="str">
        <x:v>순위는 내림차순 규모·비율 기준. 캠페인 효과·투자수익·개입 우선순위를 직접 뜻하지 않음.</x:v>
      </x:c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5" customHeight="1">
      <x:c r="A29" s="2"/>
      <x:c r="B29" s="2" t="str">
        <x:v>기존 액션 후보를 세 단계로 확인</x:v>
      </x:c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31" customHeight="1">
      <x:c r="A30" s="2"/>
      <x:c r="B30" s="7" t="str">
        <x:v>세그먼트</x:v>
      </x:c>
      <x:c r="C30" s="7" t="str">
        <x:v>정확히 1일</x:v>
      </x:c>
      <x:c r="D30" s="7" t="str">
        <x:v>정확히 2일</x:v>
      </x:c>
      <x:c r="E30" s="7" t="str">
        <x:v>3일 이상</x:v>
      </x:c>
      <x:c r="F30" s="7" t="str">
        <x:v>2일 이상 합계</x:v>
      </x:c>
      <x:c r="G30" s="2"/>
      <x:c r="H30" s="2"/>
      <x:c r="I30" s="2"/>
      <x:c r="J30" s="2"/>
      <x:c r="K30" s="2"/>
    </x:row>
    <x:row r="31" ht="25" customHeight="1">
      <x:c r="A31" s="2"/>
      <x:c r="B31" s="2" t="str">
        <x:v>습관 형성형</x:v>
      </x:c>
      <x:c r="C31" s="8" t="n">
        <x:v>1621</x:v>
      </x:c>
      <x:c r="D31" s="8" t="n">
        <x:v>1281</x:v>
      </x:c>
      <x:c r="E31" s="8" t="n">
        <x:v>8549</x:v>
      </x:c>
      <x:c r="F31" s="8" t="n">
        <x:f>D31+E31</x:f>
        <x:v>9830</x:v>
      </x:c>
      <x:c r="G31" s="2"/>
      <x:c r="H31" s="2"/>
      <x:c r="I31" s="2"/>
      <x:c r="J31" s="2"/>
      <x:c r="K31" s="2"/>
    </x:row>
    <x:row r="32" ht="25" customHeight="1">
      <x:c r="A32" s="2"/>
      <x:c r="B32" s="2" t="str">
        <x:v>꾸준형</x:v>
      </x:c>
      <x:c r="C32" s="8" t="n">
        <x:v>1469</x:v>
      </x:c>
      <x:c r="D32" s="8" t="n">
        <x:v>811</x:v>
      </x:c>
      <x:c r="E32" s="8" t="n">
        <x:v>2559</x:v>
      </x:c>
      <x:c r="F32" s="8" t="n">
        <x:f>D32+E32</x:f>
        <x:v>3370</x:v>
      </x:c>
      <x:c r="G32" s="2"/>
      <x:c r="H32" s="2"/>
      <x:c r="I32" s="2"/>
      <x:c r="J32" s="2"/>
      <x:c r="K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5" customHeight="1">
      <x:c r="A34" s="2"/>
      <x:c r="B34" s="2" t="str">
        <x:v>멈춤-꾸준형·몰입형의 대상: 3일 이상 9,520명 → 2일 이상 10,287명 (+767명).</x:v>
      </x:c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5" customHeight="1">
      <x:c r="A36" s="2"/>
      <x:c r="B36" s="2" t="str">
        <x:v>습관 형성형은 추가 인원이 가장 큼: 1,281명. 꾸준형은 기존 대상 대비 증가율이 가장 큼: 31.7%.</x:v>
      </x:c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5" customHeight="1">
      <x:c r="A37" s="2"/>
      <x:c r="B37" s="2" t="str">
        <x:v>3/8·3/9는 기준에 따라 순위가 달라짐. 3/10·3/11은 순위가 같음. 날짜별 결과를 함께 확인.</x:v>
      </x:c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5" customHeight="1">
      <x:c r="A39" s="2"/>
      <x:c r="B39" s="2" t="str">
        <x:v>제안: 정확히 2일은 조기 관찰, 3일 이상은 지속 비활동으로 함께 표시. 최적 개입 시점은 미검증.</x:v>
      </x:c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5" customHeight="1">
      <x:c r="A40" s="2"/>
      <x:c r="B40" s="2" t="str">
        <x:v>습관 형성형의 기존 1~2일 후보 2,902명 중 1,281명은 2일 기준 선택 시 단계가 이동함.</x:v>
      </x:c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5" customHeight="1">
      <x:c r="A41" s="2"/>
      <x:c r="B41" s="2" t="str">
        <x:v>날짜별 비활동 인원은 서로 겹침. 합산해 고유 이탈 인원으로 해석하지 않음.</x:v>
      </x:c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5" customHeight="1">
      <x:c r="A42" s="2"/>
      <x:c r="B42" s="2" t="str">
        <x:v>개입 정보가 없어 다음날 재학습을 자연 복귀율·캠페인 반응률로 단정할 수 없음.</x:v>
      </x:c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5" customHeight="1">
      <x:c r="A43" s="2"/>
      <x:c r="B43" s="2" t="str">
        <x:v>추론 검정 없이 임계값의 인원·비율·순위 민감도를 비교한 결과. 실제 CRM 파일은 수정하지 않음.</x:v>
      </x:c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5" customHeight="1">
      <x:c r="A44" s="2"/>
      <x:c r="B44" s="2" t="str">
        <x:v>새 데이터로 갱신하려면 analyze_inactivity_sensitivity.py와 이 엑셀 생성 스크립트를 다시 실행.</x:v>
      </x:c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2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2"/>
      <x:c r="B2" s="4" t="str">
        <x:v>날짜별 비활동 신호와 순위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5" customHeight="1">
      <x:c r="A3" s="2"/>
      <x:c r="B3" s="2" t="str">
        <x:v>3일 이상 집단 ⊆ 2일 이상 집단. 추가 인원 = 정확히 2일 비활동 사용자.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2"/>
      <x:c r="B4" s="2" t="str">
        <x:v>날짜별 순위는 6개 세그먼트 안에서 계산. 동점은 최소 순위. 전체 행에는 순위 없음.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2"/>
      <x:c r="B5" s="2" t="str">
        <x:v>3/7 종료부터 이미 비활동: 2일 기준 43,600명, 3일 기준 32,323명. 이후 수치는 신규 이탈률이 아님.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5" customHeight="1">
      <x:c r="A6" s="2"/>
      <x:c r="B6" s="2" t="str">
        <x:v>입력: daily_threshold_comparison.csv. 상태 흐름의 시작·신규·재학습 인원은 같은 CSV에 보존.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1" customHeight="1">
      <x:c r="A7" s="2"/>
      <x:c r="B7" s="7" t="str">
        <x:v>날짜</x:v>
      </x:c>
      <x:c r="C7" s="7" t="str">
        <x:v>세그먼트</x:v>
      </x:c>
      <x:c r="D7" s="7" t="str">
        <x:v>3일 이상</x:v>
      </x:c>
      <x:c r="E7" s="7" t="str">
        <x:v>2일 이상</x:v>
      </x:c>
      <x:c r="F7" s="7" t="str">
        <x:v>추가 인원</x:v>
      </x:c>
      <x:c r="G7" s="7" t="str">
        <x:v>3일 비율</x:v>
      </x:c>
      <x:c r="H7" s="7" t="str">
        <x:v>2일 비율</x:v>
      </x:c>
      <x:c r="I7" s="7" t="str">
        <x:v>증가 %p</x:v>
      </x:c>
      <x:c r="J7" s="7" t="str">
        <x:v>3일 인원 순위</x:v>
      </x:c>
      <x:c r="K7" s="7" t="str">
        <x:v>2일 인원 순위</x:v>
      </x:c>
      <x:c r="L7" s="7" t="str">
        <x:v>3일 비율 순위</x:v>
      </x:c>
      <x:c r="M7" s="7" t="str">
        <x:v>2일 비율 순위</x:v>
      </x:c>
    </x:row>
    <x:row r="8" ht="25" customHeight="1">
      <x:c r="A8" s="2"/>
      <x:c r="B8" s="16" t="d">
        <x:v>2013-03-08T00:00:00.000Z</x:v>
      </x:c>
      <x:c r="C8" s="11" t="str">
        <x:v>전체</x:v>
      </x:c>
      <x:c r="D8" s="12" t="n">
        <x:v>40098</x:v>
      </x:c>
      <x:c r="E8" s="12" t="n">
        <x:v>52176</x:v>
      </x:c>
      <x:c r="F8" s="12" t="n">
        <x:f>E8-D8</x:f>
        <x:v>12078</x:v>
      </x:c>
      <x:c r="G8" s="13" t="n">
        <x:v>0.486230855978755</x:v>
      </x:c>
      <x:c r="H8" s="13" t="n">
        <x:v>0.632689439412128</x:v>
      </x:c>
      <x:c r="I8" s="14" t="n">
        <x:f>(H8-G8)*100</x:f>
        <x:v>14.645858343337299</x:v>
      </x:c>
      <x:c r="J8" s="18"/>
      <x:c r="K8" s="18"/>
      <x:c r="L8" s="18"/>
      <x:c r="M8" s="18"/>
    </x:row>
    <x:row r="9" ht="25" customHeight="1">
      <x:c r="A9" s="2"/>
      <x:c r="B9" s="17" t="d">
        <x:v>2013-03-08T00:00:00.000Z</x:v>
      </x:c>
      <x:c r="C9" s="2" t="str">
        <x:v>꾸준형</x:v>
      </x:c>
      <x:c r="D9" s="8" t="n">
        <x:v>0</x:v>
      </x:c>
      <x:c r="E9" s="8" t="n">
        <x:v>1286</x:v>
      </x:c>
      <x:c r="F9" s="8" t="n">
        <x:f>E9-D9</x:f>
        <x:v>1286</x:v>
      </x:c>
      <x:c r="G9" s="9" t="n">
        <x:v>0</x:v>
      </x:c>
      <x:c r="H9" s="9" t="n">
        <x:v>0.144787210087818</x:v>
      </x:c>
      <x:c r="I9" s="10" t="n">
        <x:f>(H9-G9)*100</x:f>
        <x:v>14.4787210087818</x:v>
      </x:c>
      <x:c r="J9" s="15" t="n">
        <x:v>4</x:v>
      </x:c>
      <x:c r="K9" s="15" t="n">
        <x:v>6</x:v>
      </x:c>
      <x:c r="L9" s="15" t="n">
        <x:v>4</x:v>
      </x:c>
      <x:c r="M9" s="15" t="n">
        <x:v>6</x:v>
      </x:c>
    </x:row>
    <x:row r="10" ht="25" customHeight="1">
      <x:c r="A10" s="2"/>
      <x:c r="B10" s="17" t="d">
        <x:v>2013-03-08T00:00:00.000Z</x:v>
      </x:c>
      <x:c r="C10" s="2" t="str">
        <x:v>습관 형성형</x:v>
      </x:c>
      <x:c r="D10" s="8" t="n">
        <x:v>0</x:v>
      </x:c>
      <x:c r="E10" s="8" t="n">
        <x:v>4675</x:v>
      </x:c>
      <x:c r="F10" s="8" t="n">
        <x:f>E10-D10</x:f>
        <x:v>4675</x:v>
      </x:c>
      <x:c r="G10" s="9" t="n">
        <x:v>0</x:v>
      </x:c>
      <x:c r="H10" s="9" t="n">
        <x:v>0.320578756085853</x:v>
      </x:c>
      <x:c r="I10" s="10" t="n">
        <x:f>(H10-G10)*100</x:f>
        <x:v>32.0578756085853</x:v>
      </x:c>
      <x:c r="J10" s="15" t="n">
        <x:v>4</x:v>
      </x:c>
      <x:c r="K10" s="15" t="n">
        <x:v>4</x:v>
      </x:c>
      <x:c r="L10" s="15" t="n">
        <x:v>4</x:v>
      </x:c>
      <x:c r="M10" s="15" t="n">
        <x:v>5</x:v>
      </x:c>
    </x:row>
    <x:row r="11" ht="25" customHeight="1">
      <x:c r="A11" s="2"/>
      <x:c r="B11" s="17" t="d">
        <x:v>2013-03-08T00:00:00.000Z</x:v>
      </x:c>
      <x:c r="C11" s="2" t="str">
        <x:v>최근 단발형</x:v>
      </x:c>
      <x:c r="D11" s="8" t="n">
        <x:v>0</x:v>
      </x:c>
      <x:c r="E11" s="8" t="n">
        <x:v>6117</x:v>
      </x:c>
      <x:c r="F11" s="8" t="n">
        <x:f>E11-D11</x:f>
        <x:v>6117</x:v>
      </x:c>
      <x:c r="G11" s="9" t="n">
        <x:v>0</x:v>
      </x:c>
      <x:c r="H11" s="9" t="n">
        <x:v>0.397156213478769</x:v>
      </x:c>
      <x:c r="I11" s="10" t="n">
        <x:f>(H11-G11)*100</x:f>
        <x:v>39.7156213478769</x:v>
      </x:c>
      <x:c r="J11" s="15" t="n">
        <x:v>4</x:v>
      </x:c>
      <x:c r="K11" s="15" t="n">
        <x:v>3</x:v>
      </x:c>
      <x:c r="L11" s="15" t="n">
        <x:v>4</x:v>
      </x:c>
      <x:c r="M11" s="15" t="n">
        <x:v>4</x:v>
      </x:c>
    </x:row>
    <x:row r="12" ht="25" customHeight="1">
      <x:c r="A12" s="2"/>
      <x:c r="B12" s="17" t="d">
        <x:v>2013-03-08T00:00:00.000Z</x:v>
      </x:c>
      <x:c r="C12" s="2" t="str">
        <x:v>멈춤-꾸준형</x:v>
      </x:c>
      <x:c r="D12" s="8" t="n">
        <x:v>2895</x:v>
      </x:c>
      <x:c r="E12" s="8" t="n">
        <x:v>2895</x:v>
      </x:c>
      <x:c r="F12" s="8" t="n">
        <x:f>E12-D12</x:f>
        <x:v>0</x:v>
      </x:c>
      <x:c r="G12" s="9" t="n">
        <x:v>0.798180314309346</x:v>
      </x:c>
      <x:c r="H12" s="9" t="n">
        <x:v>0.798180314309346</x:v>
      </x:c>
      <x:c r="I12" s="10" t="n">
        <x:f>(H12-G12)*100</x:f>
        <x:v>0</x:v>
      </x:c>
      <x:c r="J12" s="15" t="n">
        <x:v>3</x:v>
      </x:c>
      <x:c r="K12" s="15" t="n">
        <x:v>5</x:v>
      </x:c>
      <x:c r="L12" s="15" t="n">
        <x:v>3</x:v>
      </x:c>
      <x:c r="M12" s="15" t="n">
        <x:v>3</x:v>
      </x:c>
    </x:row>
    <x:row r="13" ht="25" customHeight="1">
      <x:c r="A13" s="2"/>
      <x:c r="B13" s="17" t="d">
        <x:v>2013-03-08T00:00:00.000Z</x:v>
      </x:c>
      <x:c r="C13" s="2" t="str">
        <x:v>멈춤-몰입형</x:v>
      </x:c>
      <x:c r="D13" s="8" t="n">
        <x:v>8379</x:v>
      </x:c>
      <x:c r="E13" s="8" t="n">
        <x:v>8379</x:v>
      </x:c>
      <x:c r="F13" s="8" t="n">
        <x:f>E13-D13</x:f>
        <x:v>0</x:v>
      </x:c>
      <x:c r="G13" s="9" t="n">
        <x:v>0.900677200902935</x:v>
      </x:c>
      <x:c r="H13" s="9" t="n">
        <x:v>0.900677200902935</x:v>
      </x:c>
      <x:c r="I13" s="10" t="n">
        <x:f>(H13-G13)*100</x:f>
        <x:v>0</x:v>
      </x:c>
      <x:c r="J13" s="15" t="n">
        <x:v>2</x:v>
      </x:c>
      <x:c r="K13" s="15" t="n">
        <x:v>2</x:v>
      </x:c>
      <x:c r="L13" s="15" t="n">
        <x:v>2</x:v>
      </x:c>
      <x:c r="M13" s="15" t="n">
        <x:v>2</x:v>
      </x:c>
    </x:row>
    <x:row r="14" ht="25" customHeight="1">
      <x:c r="A14" s="2"/>
      <x:c r="B14" s="17" t="d">
        <x:v>2013-03-08T00:00:00.000Z</x:v>
      </x:c>
      <x:c r="C14" s="2" t="str">
        <x:v>멈춤-저활동형</x:v>
      </x:c>
      <x:c r="D14" s="8" t="n">
        <x:v>28824</x:v>
      </x:c>
      <x:c r="E14" s="8" t="n">
        <x:v>28824</x:v>
      </x:c>
      <x:c r="F14" s="8" t="n">
        <x:f>E14-D14</x:f>
        <x:v>0</x:v>
      </x:c>
      <x:c r="G14" s="9" t="n">
        <x:v>0.939810890120639</x:v>
      </x:c>
      <x:c r="H14" s="9" t="n">
        <x:v>0.939810890120639</x:v>
      </x:c>
      <x:c r="I14" s="10" t="n">
        <x:f>(H14-G14)*100</x:f>
        <x:v>0</x:v>
      </x:c>
      <x:c r="J14" s="15" t="n">
        <x:v>1</x:v>
      </x:c>
      <x:c r="K14" s="15" t="n">
        <x:v>1</x:v>
      </x:c>
      <x:c r="L14" s="15" t="n">
        <x:v>1</x:v>
      </x:c>
      <x:c r="M14" s="15" t="n">
        <x:v>1</x:v>
      </x:c>
    </x:row>
    <x:row r="15" ht="25" customHeight="1">
      <x:c r="A15" s="2"/>
      <x:c r="B15" s="16" t="d">
        <x:v>2013-03-09T00:00:00.000Z</x:v>
      </x:c>
      <x:c r="C15" s="11" t="str">
        <x:v>전체</x:v>
      </x:c>
      <x:c r="D15" s="12" t="n">
        <x:v>48558</x:v>
      </x:c>
      <x:c r="E15" s="12" t="n">
        <x:v>61380</x:v>
      </x:c>
      <x:c r="F15" s="12" t="n">
        <x:f>E15-D15</x:f>
        <x:v>12822</x:v>
      </x:c>
      <x:c r="G15" s="13" t="n">
        <x:v>0.588817345119866</x:v>
      </x:c>
      <x:c r="H15" s="13" t="n">
        <x:v>0.744297719087635</x:v>
      </x:c>
      <x:c r="I15" s="14" t="n">
        <x:f>(H15-G15)*100</x:f>
        <x:v>15.548037396776893</x:v>
      </x:c>
      <x:c r="J15" s="18"/>
      <x:c r="K15" s="18"/>
      <x:c r="L15" s="18"/>
      <x:c r="M15" s="18"/>
    </x:row>
    <x:row r="16" ht="25" customHeight="1">
      <x:c r="A16" s="2"/>
      <x:c r="B16" s="17" t="d">
        <x:v>2013-03-09T00:00:00.000Z</x:v>
      </x:c>
      <x:c r="C16" s="2" t="str">
        <x:v>꾸준형</x:v>
      </x:c>
      <x:c r="D16" s="8" t="n">
        <x:v>995</x:v>
      </x:c>
      <x:c r="E16" s="8" t="n">
        <x:v>2985</x:v>
      </x:c>
      <x:c r="F16" s="8" t="n">
        <x:f>E16-D16</x:f>
        <x:v>1990</x:v>
      </x:c>
      <x:c r="G16" s="9" t="n">
        <x:v>0.112024318847106</x:v>
      </x:c>
      <x:c r="H16" s="9" t="n">
        <x:v>0.33607295654132</x:v>
      </x:c>
      <x:c r="I16" s="10" t="n">
        <x:f>(H16-G16)*100</x:f>
        <x:v>22.4048637694214</x:v>
      </x:c>
      <x:c r="J16" s="15" t="n">
        <x:v>6</x:v>
      </x:c>
      <x:c r="K16" s="15" t="n">
        <x:v>5</x:v>
      </x:c>
      <x:c r="L16" s="15" t="n">
        <x:v>6</x:v>
      </x:c>
      <x:c r="M16" s="15" t="n">
        <x:v>6</x:v>
      </x:c>
    </x:row>
    <x:row r="17" ht="25" customHeight="1">
      <x:c r="A17" s="2"/>
      <x:c r="B17" s="17" t="d">
        <x:v>2013-03-09T00:00:00.000Z</x:v>
      </x:c>
      <x:c r="C17" s="2" t="str">
        <x:v>습관 형성형</x:v>
      </x:c>
      <x:c r="D17" s="8" t="n">
        <x:v>4064</x:v>
      </x:c>
      <x:c r="E17" s="8" t="n">
        <x:v>8904</x:v>
      </x:c>
      <x:c r="F17" s="8" t="n">
        <x:f>E17-D17</x:f>
        <x:v>4840</x:v>
      </x:c>
      <x:c r="G17" s="9" t="n">
        <x:v>0.278680655557841</x:v>
      </x:c>
      <x:c r="H17" s="9" t="n">
        <x:v>0.610573955976137</x:v>
      </x:c>
      <x:c r="I17" s="10" t="n">
        <x:f>(H17-G17)*100</x:f>
        <x:v>33.18933004182959</x:v>
      </x:c>
      <x:c r="J17" s="15" t="n">
        <x:v>4</x:v>
      </x:c>
      <x:c r="K17" s="15" t="n">
        <x:v>3</x:v>
      </x:c>
      <x:c r="L17" s="15" t="n">
        <x:v>5</x:v>
      </x:c>
      <x:c r="M17" s="15" t="n">
        <x:v>5</x:v>
      </x:c>
    </x:row>
    <x:row r="18" ht="25" customHeight="1">
      <x:c r="A18" s="2"/>
      <x:c r="B18" s="17" t="d">
        <x:v>2013-03-09T00:00:00.000Z</x:v>
      </x:c>
      <x:c r="C18" s="2" t="str">
        <x:v>최근 단발형</x:v>
      </x:c>
      <x:c r="D18" s="8" t="n">
        <x:v>5733</x:v>
      </x:c>
      <x:c r="E18" s="8" t="n">
        <x:v>11725</x:v>
      </x:c>
      <x:c r="F18" s="8" t="n">
        <x:f>E18-D18</x:f>
        <x:v>5992</x:v>
      </x:c>
      <x:c r="G18" s="9" t="n">
        <x:v>0.372224386443319</x:v>
      </x:c>
      <x:c r="H18" s="9" t="n">
        <x:v>0.761264770808986</x:v>
      </x:c>
      <x:c r="I18" s="10" t="n">
        <x:f>(H18-G18)*100</x:f>
        <x:v>38.9040384365667</x:v>
      </x:c>
      <x:c r="J18" s="15" t="n">
        <x:v>3</x:v>
      </x:c>
      <x:c r="K18" s="15" t="n">
        <x:v>2</x:v>
      </x:c>
      <x:c r="L18" s="15" t="n">
        <x:v>4</x:v>
      </x:c>
      <x:c r="M18" s="15" t="n">
        <x:v>3</x:v>
      </x:c>
    </x:row>
    <x:row r="19" ht="25" customHeight="1">
      <x:c r="A19" s="2"/>
      <x:c r="B19" s="17" t="d">
        <x:v>2013-03-09T00:00:00.000Z</x:v>
      </x:c>
      <x:c r="C19" s="2" t="str">
        <x:v>멈춤-꾸준형</x:v>
      </x:c>
      <x:c r="D19" s="8" t="n">
        <x:v>2469</x:v>
      </x:c>
      <x:c r="E19" s="8" t="n">
        <x:v>2469</x:v>
      </x:c>
      <x:c r="F19" s="8" t="n">
        <x:f>E19-D19</x:f>
        <x:v>0</x:v>
      </x:c>
      <x:c r="G19" s="9" t="n">
        <x:v>0.680727874276261</x:v>
      </x:c>
      <x:c r="H19" s="9" t="n">
        <x:v>0.680727874276261</x:v>
      </x:c>
      <x:c r="I19" s="10" t="n">
        <x:f>(H19-G19)*100</x:f>
        <x:v>0</x:v>
      </x:c>
      <x:c r="J19" s="15" t="n">
        <x:v>5</x:v>
      </x:c>
      <x:c r="K19" s="15" t="n">
        <x:v>6</x:v>
      </x:c>
      <x:c r="L19" s="15" t="n">
        <x:v>3</x:v>
      </x:c>
      <x:c r="M19" s="15" t="n">
        <x:v>4</x:v>
      </x:c>
    </x:row>
    <x:row r="20" ht="25" customHeight="1">
      <x:c r="A20" s="2"/>
      <x:c r="B20" s="17" t="d">
        <x:v>2013-03-09T00:00:00.000Z</x:v>
      </x:c>
      <x:c r="C20" s="2" t="str">
        <x:v>멈춤-몰입형</x:v>
      </x:c>
      <x:c r="D20" s="8" t="n">
        <x:v>7777</x:v>
      </x:c>
      <x:c r="E20" s="8" t="n">
        <x:v>7777</x:v>
      </x:c>
      <x:c r="F20" s="8" t="n">
        <x:f>E20-D20</x:f>
        <x:v>0</x:v>
      </x:c>
      <x:c r="G20" s="9" t="n">
        <x:v>0.835966892400301</x:v>
      </x:c>
      <x:c r="H20" s="9" t="n">
        <x:v>0.835966892400301</x:v>
      </x:c>
      <x:c r="I20" s="10" t="n">
        <x:f>(H20-G20)*100</x:f>
        <x:v>0</x:v>
      </x:c>
      <x:c r="J20" s="15" t="n">
        <x:v>2</x:v>
      </x:c>
      <x:c r="K20" s="15" t="n">
        <x:v>4</x:v>
      </x:c>
      <x:c r="L20" s="15" t="n">
        <x:v>2</x:v>
      </x:c>
      <x:c r="M20" s="15" t="n">
        <x:v>2</x:v>
      </x:c>
    </x:row>
    <x:row r="21" ht="25" customHeight="1">
      <x:c r="A21" s="2"/>
      <x:c r="B21" s="17" t="d">
        <x:v>2013-03-09T00:00:00.000Z</x:v>
      </x:c>
      <x:c r="C21" s="2" t="str">
        <x:v>멈춤-저활동형</x:v>
      </x:c>
      <x:c r="D21" s="8" t="n">
        <x:v>27520</x:v>
      </x:c>
      <x:c r="E21" s="8" t="n">
        <x:v>27520</x:v>
      </x:c>
      <x:c r="F21" s="8" t="n">
        <x:f>E21-D21</x:f>
        <x:v>0</x:v>
      </x:c>
      <x:c r="G21" s="9" t="n">
        <x:v>0.897293772416042</x:v>
      </x:c>
      <x:c r="H21" s="9" t="n">
        <x:v>0.897293772416042</x:v>
      </x:c>
      <x:c r="I21" s="10" t="n">
        <x:f>(H21-G21)*100</x:f>
        <x:v>0</x:v>
      </x:c>
      <x:c r="J21" s="15" t="n">
        <x:v>1</x:v>
      </x:c>
      <x:c r="K21" s="15" t="n">
        <x:v>1</x:v>
      </x:c>
      <x:c r="L21" s="15" t="n">
        <x:v>1</x:v>
      </x:c>
      <x:c r="M21" s="15" t="n">
        <x:v>1</x:v>
      </x:c>
    </x:row>
    <x:row r="22" ht="25" customHeight="1">
      <x:c r="A22" s="2"/>
      <x:c r="B22" s="16" t="d">
        <x:v>2013-03-10T00:00:00.000Z</x:v>
      </x:c>
      <x:c r="C22" s="11" t="str">
        <x:v>전체</x:v>
      </x:c>
      <x:c r="D22" s="12" t="n">
        <x:v>57153</x:v>
      </x:c>
      <x:c r="E22" s="12" t="n">
        <x:v>64468</x:v>
      </x:c>
      <x:c r="F22" s="12" t="n">
        <x:f>E22-D22</x:f>
        <x:v>7315</x:v>
      </x:c>
      <x:c r="G22" s="13" t="n">
        <x:v>0.693040852704718</x:v>
      </x:c>
      <x:c r="H22" s="13" t="n">
        <x:v>0.781743000230395</x:v>
      </x:c>
      <x:c r="I22" s="14" t="n">
        <x:f>(H22-G22)*100</x:f>
        <x:v>8.870214752567696</x:v>
      </x:c>
      <x:c r="J22" s="18"/>
      <x:c r="K22" s="18"/>
      <x:c r="L22" s="18"/>
      <x:c r="M22" s="18"/>
    </x:row>
    <x:row r="23" ht="25" customHeight="1">
      <x:c r="A23" s="2"/>
      <x:c r="B23" s="17" t="d">
        <x:v>2013-03-10T00:00:00.000Z</x:v>
      </x:c>
      <x:c r="C23" s="2" t="str">
        <x:v>꾸준형</x:v>
      </x:c>
      <x:c r="D23" s="8" t="n">
        <x:v>2330</x:v>
      </x:c>
      <x:c r="E23" s="8" t="n">
        <x:v>3682</x:v>
      </x:c>
      <x:c r="F23" s="8" t="n">
        <x:f>E23-D23</x:f>
        <x:v>1352</x:v>
      </x:c>
      <x:c r="G23" s="9" t="n">
        <x:v>0.262328304435938</x:v>
      </x:c>
      <x:c r="H23" s="9" t="n">
        <x:v>0.414546273361855</x:v>
      </x:c>
      <x:c r="I23" s="10" t="n">
        <x:f>(H23-G23)*100</x:f>
        <x:v>15.2217968925917</x:v>
      </x:c>
      <x:c r="J23" s="15" t="n">
        <x:v>5</x:v>
      </x:c>
      <x:c r="K23" s="15" t="n">
        <x:v>5</x:v>
      </x:c>
      <x:c r="L23" s="15" t="n">
        <x:v>6</x:v>
      </x:c>
      <x:c r="M23" s="15" t="n">
        <x:v>6</x:v>
      </x:c>
    </x:row>
    <x:row r="24" ht="25" customHeight="1">
      <x:c r="A24" s="2"/>
      <x:c r="B24" s="17" t="d">
        <x:v>2013-03-10T00:00:00.000Z</x:v>
      </x:c>
      <x:c r="C24" s="2" t="str">
        <x:v>습관 형성형</x:v>
      </x:c>
      <x:c r="D24" s="8" t="n">
        <x:v>7933</x:v>
      </x:c>
      <x:c r="E24" s="8" t="n">
        <x:v>10098</x:v>
      </x:c>
      <x:c r="F24" s="8" t="n">
        <x:f>E24-D24</x:f>
        <x:v>2165</x:v>
      </x:c>
      <x:c r="G24" s="9" t="n">
        <x:v>0.543989576904615</x:v>
      </x:c>
      <x:c r="H24" s="9" t="n">
        <x:v>0.692450113145443</x:v>
      </x:c>
      <x:c r="I24" s="10" t="n">
        <x:f>(H24-G24)*100</x:f>
        <x:v>14.8460536240828</x:v>
      </x:c>
      <x:c r="J24" s="15" t="n">
        <x:v>3</x:v>
      </x:c>
      <x:c r="K24" s="15" t="n">
        <x:v>3</x:v>
      </x:c>
      <x:c r="L24" s="15" t="n">
        <x:v>5</x:v>
      </x:c>
      <x:c r="M24" s="15" t="n">
        <x:v>5</x:v>
      </x:c>
    </x:row>
    <x:row r="25" ht="25" customHeight="1">
      <x:c r="A25" s="2"/>
      <x:c r="B25" s="17" t="d">
        <x:v>2013-03-10T00:00:00.000Z</x:v>
      </x:c>
      <x:c r="C25" s="2" t="str">
        <x:v>최근 단발형</x:v>
      </x:c>
      <x:c r="D25" s="8" t="n">
        <x:v>11058</x:v>
      </x:c>
      <x:c r="E25" s="8" t="n">
        <x:v>12688</x:v>
      </x:c>
      <x:c r="F25" s="8" t="n">
        <x:f>E25-D25</x:f>
        <x:v>1630</x:v>
      </x:c>
      <x:c r="G25" s="9" t="n">
        <x:v>0.717958706661472</x:v>
      </x:c>
      <x:c r="H25" s="9" t="n">
        <x:v>0.823789118296325</x:v>
      </x:c>
      <x:c r="I25" s="10" t="n">
        <x:f>(H25-G25)*100</x:f>
        <x:v>10.583041163485296</x:v>
      </x:c>
      <x:c r="J25" s="15" t="n">
        <x:v>2</x:v>
      </x:c>
      <x:c r="K25" s="15" t="n">
        <x:v>2</x:v>
      </x:c>
      <x:c r="L25" s="15" t="n">
        <x:v>3</x:v>
      </x:c>
      <x:c r="M25" s="15" t="n">
        <x:v>3</x:v>
      </x:c>
    </x:row>
    <x:row r="26" ht="25" customHeight="1">
      <x:c r="A26" s="2"/>
      <x:c r="B26" s="17" t="d">
        <x:v>2013-03-10T00:00:00.000Z</x:v>
      </x:c>
      <x:c r="C26" s="2" t="str">
        <x:v>멈춤-꾸준형</x:v>
      </x:c>
      <x:c r="D26" s="8" t="n">
        <x:v>2202</x:v>
      </x:c>
      <x:c r="E26" s="8" t="n">
        <x:v>2524</x:v>
      </x:c>
      <x:c r="F26" s="8" t="n">
        <x:f>E26-D26</x:f>
        <x:v>322</x:v>
      </x:c>
      <x:c r="G26" s="9" t="n">
        <x:v>0.607113316790736</x:v>
      </x:c>
      <x:c r="H26" s="9" t="n">
        <x:v>0.695891921698373</x:v>
      </x:c>
      <x:c r="I26" s="10" t="n">
        <x:f>(H26-G26)*100</x:f>
        <x:v>8.8778604907637</x:v>
      </x:c>
      <x:c r="J26" s="15" t="n">
        <x:v>6</x:v>
      </x:c>
      <x:c r="K26" s="15" t="n">
        <x:v>6</x:v>
      </x:c>
      <x:c r="L26" s="15" t="n">
        <x:v>4</x:v>
      </x:c>
      <x:c r="M26" s="15" t="n">
        <x:v>4</x:v>
      </x:c>
    </x:row>
    <x:row r="27" ht="25" customHeight="1">
      <x:c r="A27" s="2"/>
      <x:c r="B27" s="17" t="d">
        <x:v>2013-03-10T00:00:00.000Z</x:v>
      </x:c>
      <x:c r="C27" s="2" t="str">
        <x:v>멈춤-몰입형</x:v>
      </x:c>
      <x:c r="D27" s="8" t="n">
        <x:v>7293</x:v>
      </x:c>
      <x:c r="E27" s="8" t="n">
        <x:v>7861</x:v>
      </x:c>
      <x:c r="F27" s="8" t="n">
        <x:f>E27-D27</x:f>
        <x:v>568</x:v>
      </x:c>
      <x:c r="G27" s="9" t="n">
        <x:v>0.783940664301838</x:v>
      </x:c>
      <x:c r="H27" s="9" t="n">
        <x:v>0.844996237772762</x:v>
      </x:c>
      <x:c r="I27" s="10" t="n">
        <x:f>(H27-G27)*100</x:f>
        <x:v>6.105557347092406</x:v>
      </x:c>
      <x:c r="J27" s="15" t="n">
        <x:v>4</x:v>
      </x:c>
      <x:c r="K27" s="15" t="n">
        <x:v>4</x:v>
      </x:c>
      <x:c r="L27" s="15" t="n">
        <x:v>2</x:v>
      </x:c>
      <x:c r="M27" s="15" t="n">
        <x:v>2</x:v>
      </x:c>
    </x:row>
    <x:row r="28" ht="25" customHeight="1">
      <x:c r="A28" s="2"/>
      <x:c r="B28" s="17" t="d">
        <x:v>2013-03-10T00:00:00.000Z</x:v>
      </x:c>
      <x:c r="C28" s="2" t="str">
        <x:v>멈춤-저활동형</x:v>
      </x:c>
      <x:c r="D28" s="8" t="n">
        <x:v>26337</x:v>
      </x:c>
      <x:c r="E28" s="8" t="n">
        <x:v>27615</x:v>
      </x:c>
      <x:c r="F28" s="8" t="n">
        <x:f>E28-D28</x:f>
        <x:v>1278</x:v>
      </x:c>
      <x:c r="G28" s="9" t="n">
        <x:v>0.858721878056733</x:v>
      </x:c>
      <x:c r="H28" s="9" t="n">
        <x:v>0.900391261819368</x:v>
      </x:c>
      <x:c r="I28" s="10" t="n">
        <x:f>(H28-G28)*100</x:f>
        <x:v>4.1669383762635075</x:v>
      </x:c>
      <x:c r="J28" s="15" t="n">
        <x:v>1</x:v>
      </x:c>
      <x:c r="K28" s="15" t="n">
        <x:v>1</x:v>
      </x:c>
      <x:c r="L28" s="15" t="n">
        <x:v>1</x:v>
      </x:c>
      <x:c r="M28" s="15" t="n">
        <x:v>1</x:v>
      </x:c>
    </x:row>
    <x:row r="29" ht="25" customHeight="1">
      <x:c r="A29" s="2"/>
      <x:c r="B29" s="16" t="d">
        <x:v>2013-03-11T00:00:00.000Z</x:v>
      </x:c>
      <x:c r="C29" s="11" t="str">
        <x:v>전체</x:v>
      </x:c>
      <x:c r="D29" s="12" t="n">
        <x:v>58758</x:v>
      </x:c>
      <x:c r="E29" s="12" t="n">
        <x:v>63556</x:v>
      </x:c>
      <x:c r="F29" s="12" t="n">
        <x:f>E29-D29</x:f>
        <x:v>4798</x:v>
      </x:c>
      <x:c r="G29" s="13" t="n">
        <x:v>0.712503183091418</x:v>
      </x:c>
      <x:c r="H29" s="13" t="n">
        <x:v>0.770684031188233</x:v>
      </x:c>
      <x:c r="I29" s="14" t="n">
        <x:f>(H29-G29)*100</x:f>
        <x:v>5.818084809681501</x:v>
      </x:c>
      <x:c r="J29" s="18"/>
      <x:c r="K29" s="18"/>
      <x:c r="L29" s="18"/>
      <x:c r="M29" s="18"/>
    </x:row>
    <x:row r="30" ht="25" customHeight="1">
      <x:c r="A30" s="2"/>
      <x:c r="B30" s="17" t="d">
        <x:v>2013-03-11T00:00:00.000Z</x:v>
      </x:c>
      <x:c r="C30" s="2" t="str">
        <x:v>꾸준형</x:v>
      </x:c>
      <x:c r="D30" s="8" t="n">
        <x:v>2559</x:v>
      </x:c>
      <x:c r="E30" s="8" t="n">
        <x:v>3370</x:v>
      </x:c>
      <x:c r="F30" s="8" t="n">
        <x:f>E30-D30</x:f>
        <x:v>811</x:v>
      </x:c>
      <x:c r="G30" s="9" t="n">
        <x:v>0.288110785859041</x:v>
      </x:c>
      <x:c r="H30" s="9" t="n">
        <x:v>0.379419049763567</x:v>
      </x:c>
      <x:c r="I30" s="10" t="n">
        <x:f>(H30-G30)*100</x:f>
        <x:v>9.1308263904526</x:v>
      </x:c>
      <x:c r="J30" s="15" t="n">
        <x:v>5</x:v>
      </x:c>
      <x:c r="K30" s="15" t="n">
        <x:v>5</x:v>
      </x:c>
      <x:c r="L30" s="15" t="n">
        <x:v>6</x:v>
      </x:c>
      <x:c r="M30" s="15" t="n">
        <x:v>6</x:v>
      </x:c>
    </x:row>
    <x:row r="31" ht="25" customHeight="1">
      <x:c r="A31" s="2"/>
      <x:c r="B31" s="17" t="d">
        <x:v>2013-03-11T00:00:00.000Z</x:v>
      </x:c>
      <x:c r="C31" s="2" t="str">
        <x:v>습관 형성형</x:v>
      </x:c>
      <x:c r="D31" s="8" t="n">
        <x:v>8549</x:v>
      </x:c>
      <x:c r="E31" s="8" t="n">
        <x:v>9830</x:v>
      </x:c>
      <x:c r="F31" s="8" t="n">
        <x:f>E31-D31</x:f>
        <x:v>1281</x:v>
      </x:c>
      <x:c r="G31" s="9" t="n">
        <x:v>0.586230542412398</x:v>
      </x:c>
      <x:c r="H31" s="9" t="n">
        <x:v>0.67407255022972</x:v>
      </x:c>
      <x:c r="I31" s="10" t="n">
        <x:f>(H31-G31)*100</x:f>
        <x:v>8.7842007817322</x:v>
      </x:c>
      <x:c r="J31" s="15" t="n">
        <x:v>3</x:v>
      </x:c>
      <x:c r="K31" s="15" t="n">
        <x:v>3</x:v>
      </x:c>
      <x:c r="L31" s="15" t="n">
        <x:v>5</x:v>
      </x:c>
      <x:c r="M31" s="15" t="n">
        <x:v>5</x:v>
      </x:c>
    </x:row>
    <x:row r="32" ht="25" customHeight="1">
      <x:c r="A32" s="2"/>
      <x:c r="B32" s="17" t="d">
        <x:v>2013-03-11T00:00:00.000Z</x:v>
      </x:c>
      <x:c r="C32" s="2" t="str">
        <x:v>최근 단발형</x:v>
      </x:c>
      <x:c r="D32" s="8" t="n">
        <x:v>11734</x:v>
      </x:c>
      <x:c r="E32" s="8" t="n">
        <x:v>12656</x:v>
      </x:c>
      <x:c r="F32" s="8" t="n">
        <x:f>E32-D32</x:f>
        <x:v>922</x:v>
      </x:c>
      <x:c r="G32" s="9" t="n">
        <x:v>0.761849110505129</x:v>
      </x:c>
      <x:c r="H32" s="9" t="n">
        <x:v>0.821711466043371</x:v>
      </x:c>
      <x:c r="I32" s="10" t="n">
        <x:f>(H32-G32)*100</x:f>
        <x:v>5.9862355538241925</x:v>
      </x:c>
      <x:c r="J32" s="15" t="n">
        <x:v>2</x:v>
      </x:c>
      <x:c r="K32" s="15" t="n">
        <x:v>2</x:v>
      </x:c>
      <x:c r="L32" s="15" t="n">
        <x:v>3</x:v>
      </x:c>
      <x:c r="M32" s="15" t="n">
        <x:v>3</x:v>
      </x:c>
    </x:row>
    <x:row r="33" ht="25" customHeight="1">
      <x:c r="A33" s="2"/>
      <x:c r="B33" s="17" t="d">
        <x:v>2013-03-11T00:00:00.000Z</x:v>
      </x:c>
      <x:c r="C33" s="2" t="str">
        <x:v>멈춤-꾸준형</x:v>
      </x:c>
      <x:c r="D33" s="8" t="n">
        <x:v>2207</x:v>
      </x:c>
      <x:c r="E33" s="8" t="n">
        <x:v>2512</x:v>
      </x:c>
      <x:c r="F33" s="8" t="n">
        <x:f>E33-D33</x:f>
        <x:v>305</x:v>
      </x:c>
      <x:c r="G33" s="9" t="n">
        <x:v>0.608491866556383</x:v>
      </x:c>
      <x:c r="H33" s="9" t="n">
        <x:v>0.692583402260822</x:v>
      </x:c>
      <x:c r="I33" s="10" t="n">
        <x:f>(H33-G33)*100</x:f>
        <x:v>8.409153570443905</x:v>
      </x:c>
      <x:c r="J33" s="15" t="n">
        <x:v>6</x:v>
      </x:c>
      <x:c r="K33" s="15" t="n">
        <x:v>6</x:v>
      </x:c>
      <x:c r="L33" s="15" t="n">
        <x:v>4</x:v>
      </x:c>
      <x:c r="M33" s="15" t="n">
        <x:v>4</x:v>
      </x:c>
    </x:row>
    <x:row r="34" ht="25" customHeight="1">
      <x:c r="A34" s="2"/>
      <x:c r="B34" s="17" t="d">
        <x:v>2013-03-11T00:00:00.000Z</x:v>
      </x:c>
      <x:c r="C34" s="2" t="str">
        <x:v>멈춤-몰입형</x:v>
      </x:c>
      <x:c r="D34" s="8" t="n">
        <x:v>7313</x:v>
      </x:c>
      <x:c r="E34" s="8" t="n">
        <x:v>7775</x:v>
      </x:c>
      <x:c r="F34" s="8" t="n">
        <x:f>E34-D34</x:f>
        <x:v>462</x:v>
      </x:c>
      <x:c r="G34" s="9" t="n">
        <x:v>0.786090508438138</x:v>
      </x:c>
      <x:c r="H34" s="9" t="n">
        <x:v>0.835751907986671</x:v>
      </x:c>
      <x:c r="I34" s="10" t="n">
        <x:f>(H34-G34)*100</x:f>
        <x:v>4.966139954853299</x:v>
      </x:c>
      <x:c r="J34" s="15" t="n">
        <x:v>4</x:v>
      </x:c>
      <x:c r="K34" s="15" t="n">
        <x:v>4</x:v>
      </x:c>
      <x:c r="L34" s="15" t="n">
        <x:v>2</x:v>
      </x:c>
      <x:c r="M34" s="15" t="n">
        <x:v>2</x:v>
      </x:c>
    </x:row>
    <x:row r="35" ht="25" customHeight="1">
      <x:c r="A35" s="2"/>
      <x:c r="B35" s="17" t="d">
        <x:v>2013-03-11T00:00:00.000Z</x:v>
      </x:c>
      <x:c r="C35" s="2" t="str">
        <x:v>멈춤-저활동형</x:v>
      </x:c>
      <x:c r="D35" s="8" t="n">
        <x:v>26396</x:v>
      </x:c>
      <x:c r="E35" s="8" t="n">
        <x:v>27413</x:v>
      </x:c>
      <x:c r="F35" s="8" t="n">
        <x:f>E35-D35</x:f>
        <x:v>1017</x:v>
      </x:c>
      <x:c r="G35" s="9" t="n">
        <x:v>0.860645582001956</x:v>
      </x:c>
      <x:c r="H35" s="9" t="n">
        <x:v>0.893805021193349</x:v>
      </x:c>
      <x:c r="I35" s="10" t="n">
        <x:f>(H35-G35)*100</x:f>
        <x:v>3.315943919139308</x:v>
      </x:c>
      <x:c r="J35" s="15" t="n">
        <x:v>1</x:v>
      </x:c>
      <x:c r="K35" s="15" t="n">
        <x:v>1</x:v>
      </x:c>
      <x:c r="L35" s="15" t="n">
        <x:v>1</x:v>
      </x:c>
      <x:c r="M35" s="15" t="n">
        <x:v>1</x:v>
      </x:c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16" hidden="0" customWidth="1"/>
    <x:col min="4" max="4" width="25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2"/>
      <x:c r="B2" s="4" t="str">
        <x:v>비활동 신호 다음날의 재학습</x:v>
      </x:c>
      <x:c r="C2" s="3"/>
      <x:c r="D2" s="3"/>
      <x:c r="E2" s="3"/>
      <x:c r="F2" s="3"/>
      <x:c r="G2" s="3"/>
      <x:c r="H2" s="3"/>
      <x:c r="I2" s="3"/>
      <x:c r="J2" s="3"/>
    </x:row>
    <x:row r="3" ht="25" customHeight="1">
      <x:c r="A3" s="2"/>
      <x:c r="B3" s="2" t="str">
        <x:v>같은 날짜의 정확히 2일 집단과 3일 이상 집단을 비교. 각 집단은 서로 겹치지 않음.</x:v>
      </x:c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/>
      <x:c r="B4" s="2" t="str">
        <x:v>같은 사용자가 여러 날짜에 나타날 수 있어 날짜별로 제시. 합산해 독립 표본 검정하지 않음.</x:v>
      </x:c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"/>
      <x:c r="B5" s="2" t="str">
        <x:v>3/11 신호의 다음날은 미관측. 빈칸을 0%로 해석하지 않음.</x:v>
      </x:c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/>
      <x:c r="B6" s="2" t="str">
        <x:v>입력: nextday_relearning_by_gap.csv. 학습률의 분모는 신호 기준일의 해당 집단 전체.</x:v>
      </x:c>
      <x:c r="C6" s="2"/>
      <x:c r="D6" s="2"/>
      <x:c r="E6" s="2"/>
      <x:c r="F6" s="2"/>
      <x:c r="G6" s="2"/>
      <x:c r="H6" s="2"/>
      <x:c r="I6" s="2"/>
      <x:c r="J6" s="2"/>
    </x:row>
    <x:row r="7" ht="31" customHeight="1">
      <x:c r="A7" s="2"/>
      <x:c r="B7" s="7" t="str">
        <x:v>신호 기준일</x:v>
      </x:c>
      <x:c r="C7" s="7" t="str">
        <x:v>다음 날짜</x:v>
      </x:c>
      <x:c r="D7" s="7" t="str">
        <x:v>세그먼트</x:v>
      </x:c>
      <x:c r="E7" s="7" t="str">
        <x:v>비활동 기간</x:v>
      </x:c>
      <x:c r="F7" s="7" t="str">
        <x:v>대상 인원</x:v>
      </x:c>
      <x:c r="G7" s="7" t="str">
        <x:v>재학습 인원</x:v>
      </x:c>
      <x:c r="H7" s="7" t="str">
        <x:v>재학습률</x:v>
      </x:c>
      <x:c r="I7" s="7" t="str">
        <x:v>관측 상태</x:v>
      </x:c>
      <x:c r="J7" s="2"/>
    </x:row>
    <x:row r="8" ht="25" customHeight="1">
      <x:c r="A8" s="2"/>
      <x:c r="B8" s="16" t="d">
        <x:v>2013-03-08T00:00:00.000Z</x:v>
      </x:c>
      <x:c r="C8" s="16" t="d">
        <x:v>2013-03-09T00:00:00.000Z</x:v>
      </x:c>
      <x:c r="D8" s="11" t="str">
        <x:v>전체</x:v>
      </x:c>
      <x:c r="E8" s="11" t="str">
        <x:v>3일 이상</x:v>
      </x:c>
      <x:c r="F8" s="12" t="n">
        <x:v>40098</x:v>
      </x:c>
      <x:c r="G8" s="8" t="n">
        <x:v>2332</x:v>
      </x:c>
      <x:c r="H8" s="9" t="n">
        <x:f>G8/F8</x:f>
        <x:v>0.05815751409047833</x:v>
      </x:c>
      <x:c r="I8" s="2" t="str">
        <x:v>관측</x:v>
      </x:c>
      <x:c r="J8" s="2"/>
    </x:row>
    <x:row r="9" ht="25" customHeight="1">
      <x:c r="A9" s="2"/>
      <x:c r="B9" s="16" t="d">
        <x:v>2013-03-08T00:00:00.000Z</x:v>
      </x:c>
      <x:c r="C9" s="16" t="d">
        <x:v>2013-03-09T00:00:00.000Z</x:v>
      </x:c>
      <x:c r="D9" s="11" t="str">
        <x:v>전체</x:v>
      </x:c>
      <x:c r="E9" s="11" t="str">
        <x:v>정확히 2일</x:v>
      </x:c>
      <x:c r="F9" s="12" t="n">
        <x:v>12078</x:v>
      </x:c>
      <x:c r="G9" s="8" t="n">
        <x:v>1286</x:v>
      </x:c>
      <x:c r="H9" s="9" t="n">
        <x:f>G9/F9</x:f>
        <x:v>0.10647458188441795</x:v>
      </x:c>
      <x:c r="I9" s="2" t="str">
        <x:v>관측</x:v>
      </x:c>
      <x:c r="J9" s="2"/>
    </x:row>
    <x:row r="10" ht="25" customHeight="1">
      <x:c r="A10" s="2"/>
      <x:c r="B10" s="17" t="d">
        <x:v>2013-03-08T00:00:00.000Z</x:v>
      </x:c>
      <x:c r="C10" s="17" t="d">
        <x:v>2013-03-09T00:00:00.000Z</x:v>
      </x:c>
      <x:c r="D10" s="2" t="str">
        <x:v>꾸준형</x:v>
      </x:c>
      <x:c r="E10" s="2" t="str">
        <x:v>3일 이상</x:v>
      </x:c>
      <x:c r="F10" s="8" t="n">
        <x:v>0</x:v>
      </x:c>
      <x:c r="G10" s="8" t="n">
        <x:v>0</x:v>
      </x:c>
      <x:c r="H10" s="9"/>
      <x:c r="I10" s="2" t="str">
        <x:v>관측</x:v>
      </x:c>
      <x:c r="J10" s="2"/>
    </x:row>
    <x:row r="11" ht="25" customHeight="1">
      <x:c r="A11" s="2"/>
      <x:c r="B11" s="17" t="d">
        <x:v>2013-03-08T00:00:00.000Z</x:v>
      </x:c>
      <x:c r="C11" s="17" t="d">
        <x:v>2013-03-09T00:00:00.000Z</x:v>
      </x:c>
      <x:c r="D11" s="2" t="str">
        <x:v>꾸준형</x:v>
      </x:c>
      <x:c r="E11" s="2" t="str">
        <x:v>정확히 2일</x:v>
      </x:c>
      <x:c r="F11" s="8" t="n">
        <x:v>1286</x:v>
      </x:c>
      <x:c r="G11" s="8" t="n">
        <x:v>291</x:v>
      </x:c>
      <x:c r="H11" s="9" t="n">
        <x:f>G11/F11</x:f>
        <x:v>0.22628304821150855</x:v>
      </x:c>
      <x:c r="I11" s="2" t="str">
        <x:v>관측</x:v>
      </x:c>
      <x:c r="J11" s="2"/>
    </x:row>
    <x:row r="12" ht="25" customHeight="1">
      <x:c r="A12" s="2"/>
      <x:c r="B12" s="17" t="d">
        <x:v>2013-03-08T00:00:00.000Z</x:v>
      </x:c>
      <x:c r="C12" s="17" t="d">
        <x:v>2013-03-09T00:00:00.000Z</x:v>
      </x:c>
      <x:c r="D12" s="2" t="str">
        <x:v>습관 형성형</x:v>
      </x:c>
      <x:c r="E12" s="2" t="str">
        <x:v>3일 이상</x:v>
      </x:c>
      <x:c r="F12" s="8" t="n">
        <x:v>0</x:v>
      </x:c>
      <x:c r="G12" s="8" t="n">
        <x:v>0</x:v>
      </x:c>
      <x:c r="H12" s="9"/>
      <x:c r="I12" s="2" t="str">
        <x:v>관측</x:v>
      </x:c>
      <x:c r="J12" s="2"/>
    </x:row>
    <x:row r="13" ht="25" customHeight="1">
      <x:c r="A13" s="2"/>
      <x:c r="B13" s="17" t="d">
        <x:v>2013-03-08T00:00:00.000Z</x:v>
      </x:c>
      <x:c r="C13" s="17" t="d">
        <x:v>2013-03-09T00:00:00.000Z</x:v>
      </x:c>
      <x:c r="D13" s="2" t="str">
        <x:v>습관 형성형</x:v>
      </x:c>
      <x:c r="E13" s="2" t="str">
        <x:v>정확히 2일</x:v>
      </x:c>
      <x:c r="F13" s="8" t="n">
        <x:v>4675</x:v>
      </x:c>
      <x:c r="G13" s="8" t="n">
        <x:v>611</x:v>
      </x:c>
      <x:c r="H13" s="9" t="n">
        <x:f>G13/F13</x:f>
        <x:v>0.1306951871657754</x:v>
      </x:c>
      <x:c r="I13" s="2" t="str">
        <x:v>관측</x:v>
      </x:c>
      <x:c r="J13" s="2"/>
    </x:row>
    <x:row r="14" ht="25" customHeight="1">
      <x:c r="A14" s="2"/>
      <x:c r="B14" s="17" t="d">
        <x:v>2013-03-08T00:00:00.000Z</x:v>
      </x:c>
      <x:c r="C14" s="17" t="d">
        <x:v>2013-03-09T00:00:00.000Z</x:v>
      </x:c>
      <x:c r="D14" s="2" t="str">
        <x:v>최근 단발형</x:v>
      </x:c>
      <x:c r="E14" s="2" t="str">
        <x:v>3일 이상</x:v>
      </x:c>
      <x:c r="F14" s="8" t="n">
        <x:v>0</x:v>
      </x:c>
      <x:c r="G14" s="8" t="n">
        <x:v>0</x:v>
      </x:c>
      <x:c r="H14" s="9"/>
      <x:c r="I14" s="2" t="str">
        <x:v>관측</x:v>
      </x:c>
      <x:c r="J14" s="2"/>
    </x:row>
    <x:row r="15" ht="25" customHeight="1">
      <x:c r="A15" s="2"/>
      <x:c r="B15" s="17" t="d">
        <x:v>2013-03-08T00:00:00.000Z</x:v>
      </x:c>
      <x:c r="C15" s="17" t="d">
        <x:v>2013-03-09T00:00:00.000Z</x:v>
      </x:c>
      <x:c r="D15" s="2" t="str">
        <x:v>최근 단발형</x:v>
      </x:c>
      <x:c r="E15" s="2" t="str">
        <x:v>정확히 2일</x:v>
      </x:c>
      <x:c r="F15" s="8" t="n">
        <x:v>6117</x:v>
      </x:c>
      <x:c r="G15" s="8" t="n">
        <x:v>384</x:v>
      </x:c>
      <x:c r="H15" s="9" t="n">
        <x:f>G15/F15</x:f>
        <x:v>0.06277587052476705</x:v>
      </x:c>
      <x:c r="I15" s="2" t="str">
        <x:v>관측</x:v>
      </x:c>
      <x:c r="J15" s="2"/>
    </x:row>
    <x:row r="16" ht="25" customHeight="1">
      <x:c r="A16" s="2"/>
      <x:c r="B16" s="17" t="d">
        <x:v>2013-03-08T00:00:00.000Z</x:v>
      </x:c>
      <x:c r="C16" s="17" t="d">
        <x:v>2013-03-09T00:00:00.000Z</x:v>
      </x:c>
      <x:c r="D16" s="2" t="str">
        <x:v>멈춤-꾸준형</x:v>
      </x:c>
      <x:c r="E16" s="2" t="str">
        <x:v>3일 이상</x:v>
      </x:c>
      <x:c r="F16" s="8" t="n">
        <x:v>2895</x:v>
      </x:c>
      <x:c r="G16" s="8" t="n">
        <x:v>426</x:v>
      </x:c>
      <x:c r="H16" s="9" t="n">
        <x:f>G16/F16</x:f>
        <x:v>0.14715025906735751</x:v>
      </x:c>
      <x:c r="I16" s="2" t="str">
        <x:v>관측</x:v>
      </x:c>
      <x:c r="J16" s="2"/>
    </x:row>
    <x:row r="17" ht="25" customHeight="1">
      <x:c r="A17" s="2"/>
      <x:c r="B17" s="17" t="d">
        <x:v>2013-03-08T00:00:00.000Z</x:v>
      </x:c>
      <x:c r="C17" s="17" t="d">
        <x:v>2013-03-09T00:00:00.000Z</x:v>
      </x:c>
      <x:c r="D17" s="2" t="str">
        <x:v>멈춤-꾸준형</x:v>
      </x:c>
      <x:c r="E17" s="2" t="str">
        <x:v>정확히 2일</x:v>
      </x:c>
      <x:c r="F17" s="8" t="n">
        <x:v>0</x:v>
      </x:c>
      <x:c r="G17" s="8" t="n">
        <x:v>0</x:v>
      </x:c>
      <x:c r="H17" s="9"/>
      <x:c r="I17" s="2" t="str">
        <x:v>관측</x:v>
      </x:c>
      <x:c r="J17" s="2"/>
    </x:row>
    <x:row r="18" ht="25" customHeight="1">
      <x:c r="A18" s="2"/>
      <x:c r="B18" s="17" t="d">
        <x:v>2013-03-08T00:00:00.000Z</x:v>
      </x:c>
      <x:c r="C18" s="17" t="d">
        <x:v>2013-03-09T00:00:00.000Z</x:v>
      </x:c>
      <x:c r="D18" s="2" t="str">
        <x:v>멈춤-몰입형</x:v>
      </x:c>
      <x:c r="E18" s="2" t="str">
        <x:v>3일 이상</x:v>
      </x:c>
      <x:c r="F18" s="8" t="n">
        <x:v>8379</x:v>
      </x:c>
      <x:c r="G18" s="8" t="n">
        <x:v>602</x:v>
      </x:c>
      <x:c r="H18" s="9" t="n">
        <x:f>G18/F18</x:f>
        <x:v>0.07184628237259816</x:v>
      </x:c>
      <x:c r="I18" s="2" t="str">
        <x:v>관측</x:v>
      </x:c>
      <x:c r="J18" s="2"/>
    </x:row>
    <x:row r="19" ht="25" customHeight="1">
      <x:c r="A19" s="2"/>
      <x:c r="B19" s="17" t="d">
        <x:v>2013-03-08T00:00:00.000Z</x:v>
      </x:c>
      <x:c r="C19" s="17" t="d">
        <x:v>2013-03-09T00:00:00.000Z</x:v>
      </x:c>
      <x:c r="D19" s="2" t="str">
        <x:v>멈춤-몰입형</x:v>
      </x:c>
      <x:c r="E19" s="2" t="str">
        <x:v>정확히 2일</x:v>
      </x:c>
      <x:c r="F19" s="8" t="n">
        <x:v>0</x:v>
      </x:c>
      <x:c r="G19" s="8" t="n">
        <x:v>0</x:v>
      </x:c>
      <x:c r="H19" s="9"/>
      <x:c r="I19" s="2" t="str">
        <x:v>관측</x:v>
      </x:c>
      <x:c r="J19" s="2"/>
    </x:row>
    <x:row r="20" ht="25" customHeight="1">
      <x:c r="A20" s="2"/>
      <x:c r="B20" s="17" t="d">
        <x:v>2013-03-08T00:00:00.000Z</x:v>
      </x:c>
      <x:c r="C20" s="17" t="d">
        <x:v>2013-03-09T00:00:00.000Z</x:v>
      </x:c>
      <x:c r="D20" s="2" t="str">
        <x:v>멈춤-저활동형</x:v>
      </x:c>
      <x:c r="E20" s="2" t="str">
        <x:v>3일 이상</x:v>
      </x:c>
      <x:c r="F20" s="8" t="n">
        <x:v>28824</x:v>
      </x:c>
      <x:c r="G20" s="8" t="n">
        <x:v>1304</x:v>
      </x:c>
      <x:c r="H20" s="9" t="n">
        <x:f>G20/F20</x:f>
        <x:v>0.045240077713016934</x:v>
      </x:c>
      <x:c r="I20" s="2" t="str">
        <x:v>관측</x:v>
      </x:c>
      <x:c r="J20" s="2"/>
    </x:row>
    <x:row r="21" ht="25" customHeight="1">
      <x:c r="A21" s="2"/>
      <x:c r="B21" s="17" t="d">
        <x:v>2013-03-08T00:00:00.000Z</x:v>
      </x:c>
      <x:c r="C21" s="17" t="d">
        <x:v>2013-03-09T00:00:00.000Z</x:v>
      </x:c>
      <x:c r="D21" s="2" t="str">
        <x:v>멈춤-저활동형</x:v>
      </x:c>
      <x:c r="E21" s="2" t="str">
        <x:v>정확히 2일</x:v>
      </x:c>
      <x:c r="F21" s="8" t="n">
        <x:v>0</x:v>
      </x:c>
      <x:c r="G21" s="8" t="n">
        <x:v>0</x:v>
      </x:c>
      <x:c r="H21" s="9"/>
      <x:c r="I21" s="2" t="str">
        <x:v>관측</x:v>
      </x:c>
      <x:c r="J21" s="2"/>
    </x:row>
    <x:row r="22" ht="25" customHeight="1">
      <x:c r="A22" s="2"/>
      <x:c r="B22" s="16" t="d">
        <x:v>2013-03-09T00:00:00.000Z</x:v>
      </x:c>
      <x:c r="C22" s="16" t="d">
        <x:v>2013-03-10T00:00:00.000Z</x:v>
      </x:c>
      <x:c r="D22" s="11" t="str">
        <x:v>전체</x:v>
      </x:c>
      <x:c r="E22" s="11" t="str">
        <x:v>3일 이상</x:v>
      </x:c>
      <x:c r="F22" s="12" t="n">
        <x:v>48558</x:v>
      </x:c>
      <x:c r="G22" s="8" t="n">
        <x:v>2817</x:v>
      </x:c>
      <x:c r="H22" s="9" t="n">
        <x:f>G22/F22</x:f>
        <x:v>0.05801309773878661</x:v>
      </x:c>
      <x:c r="I22" s="2" t="str">
        <x:v>관측</x:v>
      </x:c>
      <x:c r="J22" s="2"/>
    </x:row>
    <x:row r="23" ht="25" customHeight="1">
      <x:c r="A23" s="2"/>
      <x:c r="B23" s="16" t="d">
        <x:v>2013-03-09T00:00:00.000Z</x:v>
      </x:c>
      <x:c r="C23" s="16" t="d">
        <x:v>2013-03-10T00:00:00.000Z</x:v>
      </x:c>
      <x:c r="D23" s="11" t="str">
        <x:v>전체</x:v>
      </x:c>
      <x:c r="E23" s="11" t="str">
        <x:v>정확히 2일</x:v>
      </x:c>
      <x:c r="F23" s="12" t="n">
        <x:v>12822</x:v>
      </x:c>
      <x:c r="G23" s="8" t="n">
        <x:v>1410</x:v>
      </x:c>
      <x:c r="H23" s="9" t="n">
        <x:f>G23/F23</x:f>
        <x:v>0.10996724379971923</x:v>
      </x:c>
      <x:c r="I23" s="2" t="str">
        <x:v>관측</x:v>
      </x:c>
      <x:c r="J23" s="2"/>
    </x:row>
    <x:row r="24" ht="25" customHeight="1">
      <x:c r="A24" s="2"/>
      <x:c r="B24" s="17" t="d">
        <x:v>2013-03-09T00:00:00.000Z</x:v>
      </x:c>
      <x:c r="C24" s="17" t="d">
        <x:v>2013-03-10T00:00:00.000Z</x:v>
      </x:c>
      <x:c r="D24" s="2" t="str">
        <x:v>꾸준형</x:v>
      </x:c>
      <x:c r="E24" s="2" t="str">
        <x:v>3일 이상</x:v>
      </x:c>
      <x:c r="F24" s="8" t="n">
        <x:v>995</x:v>
      </x:c>
      <x:c r="G24" s="8" t="n">
        <x:v>180</x:v>
      </x:c>
      <x:c r="H24" s="9" t="n">
        <x:f>G24/F24</x:f>
        <x:v>0.18090452261306533</x:v>
      </x:c>
      <x:c r="I24" s="2" t="str">
        <x:v>관측</x:v>
      </x:c>
      <x:c r="J24" s="2"/>
    </x:row>
    <x:row r="25" ht="25" customHeight="1">
      <x:c r="A25" s="2"/>
      <x:c r="B25" s="17" t="d">
        <x:v>2013-03-09T00:00:00.000Z</x:v>
      </x:c>
      <x:c r="C25" s="17" t="d">
        <x:v>2013-03-10T00:00:00.000Z</x:v>
      </x:c>
      <x:c r="D25" s="2" t="str">
        <x:v>꾸준형</x:v>
      </x:c>
      <x:c r="E25" s="2" t="str">
        <x:v>정확히 2일</x:v>
      </x:c>
      <x:c r="F25" s="8" t="n">
        <x:v>1990</x:v>
      </x:c>
      <x:c r="G25" s="8" t="n">
        <x:v>475</x:v>
      </x:c>
      <x:c r="H25" s="9" t="n">
        <x:f>G25/F25</x:f>
        <x:v>0.23869346733668342</x:v>
      </x:c>
      <x:c r="I25" s="2" t="str">
        <x:v>관측</x:v>
      </x:c>
      <x:c r="J25" s="2"/>
    </x:row>
    <x:row r="26" ht="25" customHeight="1">
      <x:c r="A26" s="2"/>
      <x:c r="B26" s="17" t="d">
        <x:v>2013-03-09T00:00:00.000Z</x:v>
      </x:c>
      <x:c r="C26" s="17" t="d">
        <x:v>2013-03-10T00:00:00.000Z</x:v>
      </x:c>
      <x:c r="D26" s="2" t="str">
        <x:v>습관 형성형</x:v>
      </x:c>
      <x:c r="E26" s="2" t="str">
        <x:v>3일 이상</x:v>
      </x:c>
      <x:c r="F26" s="8" t="n">
        <x:v>4064</x:v>
      </x:c>
      <x:c r="G26" s="8" t="n">
        <x:v>395</x:v>
      </x:c>
      <x:c r="H26" s="9" t="n">
        <x:f>G26/F26</x:f>
        <x:v>0.09719488188976377</x:v>
      </x:c>
      <x:c r="I26" s="2" t="str">
        <x:v>관측</x:v>
      </x:c>
      <x:c r="J26" s="2"/>
    </x:row>
    <x:row r="27" ht="25" customHeight="1">
      <x:c r="A27" s="2"/>
      <x:c r="B27" s="17" t="d">
        <x:v>2013-03-09T00:00:00.000Z</x:v>
      </x:c>
      <x:c r="C27" s="17" t="d">
        <x:v>2013-03-10T00:00:00.000Z</x:v>
      </x:c>
      <x:c r="D27" s="2" t="str">
        <x:v>습관 형성형</x:v>
      </x:c>
      <x:c r="E27" s="2" t="str">
        <x:v>정확히 2일</x:v>
      </x:c>
      <x:c r="F27" s="8" t="n">
        <x:v>4840</x:v>
      </x:c>
      <x:c r="G27" s="8" t="n">
        <x:v>576</x:v>
      </x:c>
      <x:c r="H27" s="9" t="n">
        <x:f>G27/F27</x:f>
        <x:v>0.11900826446280992</x:v>
      </x:c>
      <x:c r="I27" s="2" t="str">
        <x:v>관측</x:v>
      </x:c>
      <x:c r="J27" s="2"/>
    </x:row>
    <x:row r="28" ht="25" customHeight="1">
      <x:c r="A28" s="2"/>
      <x:c r="B28" s="17" t="d">
        <x:v>2013-03-09T00:00:00.000Z</x:v>
      </x:c>
      <x:c r="C28" s="17" t="d">
        <x:v>2013-03-10T00:00:00.000Z</x:v>
      </x:c>
      <x:c r="D28" s="2" t="str">
        <x:v>최근 단발형</x:v>
      </x:c>
      <x:c r="E28" s="2" t="str">
        <x:v>3일 이상</x:v>
      </x:c>
      <x:c r="F28" s="8" t="n">
        <x:v>5733</x:v>
      </x:c>
      <x:c r="G28" s="8" t="n">
        <x:v>308</x:v>
      </x:c>
      <x:c r="H28" s="9" t="n">
        <x:f>G28/F28</x:f>
        <x:v>0.05372405372405373</x:v>
      </x:c>
      <x:c r="I28" s="2" t="str">
        <x:v>관측</x:v>
      </x:c>
      <x:c r="J28" s="2"/>
    </x:row>
    <x:row r="29" ht="25" customHeight="1">
      <x:c r="A29" s="2"/>
      <x:c r="B29" s="17" t="d">
        <x:v>2013-03-09T00:00:00.000Z</x:v>
      </x:c>
      <x:c r="C29" s="17" t="d">
        <x:v>2013-03-10T00:00:00.000Z</x:v>
      </x:c>
      <x:c r="D29" s="2" t="str">
        <x:v>최근 단발형</x:v>
      </x:c>
      <x:c r="E29" s="2" t="str">
        <x:v>정확히 2일</x:v>
      </x:c>
      <x:c r="F29" s="8" t="n">
        <x:v>5992</x:v>
      </x:c>
      <x:c r="G29" s="8" t="n">
        <x:v>359</x:v>
      </x:c>
      <x:c r="H29" s="9" t="n">
        <x:f>G29/F29</x:f>
        <x:v>0.059913217623497994</x:v>
      </x:c>
      <x:c r="I29" s="2" t="str">
        <x:v>관측</x:v>
      </x:c>
      <x:c r="J29" s="2"/>
    </x:row>
    <x:row r="30" ht="25" customHeight="1">
      <x:c r="A30" s="2"/>
      <x:c r="B30" s="17" t="d">
        <x:v>2013-03-09T00:00:00.000Z</x:v>
      </x:c>
      <x:c r="C30" s="17" t="d">
        <x:v>2013-03-10T00:00:00.000Z</x:v>
      </x:c>
      <x:c r="D30" s="2" t="str">
        <x:v>멈춤-꾸준형</x:v>
      </x:c>
      <x:c r="E30" s="2" t="str">
        <x:v>3일 이상</x:v>
      </x:c>
      <x:c r="F30" s="8" t="n">
        <x:v>2469</x:v>
      </x:c>
      <x:c r="G30" s="8" t="n">
        <x:v>267</x:v>
      </x:c>
      <x:c r="H30" s="9" t="n">
        <x:f>G30/F30</x:f>
        <x:v>0.10814094775212636</x:v>
      </x:c>
      <x:c r="I30" s="2" t="str">
        <x:v>관측</x:v>
      </x:c>
      <x:c r="J30" s="2"/>
    </x:row>
    <x:row r="31" ht="25" customHeight="1">
      <x:c r="A31" s="2"/>
      <x:c r="B31" s="17" t="d">
        <x:v>2013-03-09T00:00:00.000Z</x:v>
      </x:c>
      <x:c r="C31" s="17" t="d">
        <x:v>2013-03-10T00:00:00.000Z</x:v>
      </x:c>
      <x:c r="D31" s="2" t="str">
        <x:v>멈춤-꾸준형</x:v>
      </x:c>
      <x:c r="E31" s="2" t="str">
        <x:v>정확히 2일</x:v>
      </x:c>
      <x:c r="F31" s="8" t="n">
        <x:v>0</x:v>
      </x:c>
      <x:c r="G31" s="8" t="n">
        <x:v>0</x:v>
      </x:c>
      <x:c r="H31" s="9"/>
      <x:c r="I31" s="2" t="str">
        <x:v>관측</x:v>
      </x:c>
      <x:c r="J31" s="2"/>
    </x:row>
    <x:row r="32" ht="25" customHeight="1">
      <x:c r="A32" s="2"/>
      <x:c r="B32" s="17" t="d">
        <x:v>2013-03-09T00:00:00.000Z</x:v>
      </x:c>
      <x:c r="C32" s="17" t="d">
        <x:v>2013-03-10T00:00:00.000Z</x:v>
      </x:c>
      <x:c r="D32" s="2" t="str">
        <x:v>멈춤-몰입형</x:v>
      </x:c>
      <x:c r="E32" s="2" t="str">
        <x:v>3일 이상</x:v>
      </x:c>
      <x:c r="F32" s="8" t="n">
        <x:v>7777</x:v>
      </x:c>
      <x:c r="G32" s="8" t="n">
        <x:v>484</x:v>
      </x:c>
      <x:c r="H32" s="9" t="n">
        <x:f>G32/F32</x:f>
        <x:v>0.06223479490806223</x:v>
      </x:c>
      <x:c r="I32" s="2" t="str">
        <x:v>관측</x:v>
      </x:c>
      <x:c r="J32" s="2"/>
    </x:row>
    <x:row r="33" ht="25" customHeight="1">
      <x:c r="A33" s="2"/>
      <x:c r="B33" s="17" t="d">
        <x:v>2013-03-09T00:00:00.000Z</x:v>
      </x:c>
      <x:c r="C33" s="17" t="d">
        <x:v>2013-03-10T00:00:00.000Z</x:v>
      </x:c>
      <x:c r="D33" s="2" t="str">
        <x:v>멈춤-몰입형</x:v>
      </x:c>
      <x:c r="E33" s="2" t="str">
        <x:v>정확히 2일</x:v>
      </x:c>
      <x:c r="F33" s="8" t="n">
        <x:v>0</x:v>
      </x:c>
      <x:c r="G33" s="8" t="n">
        <x:v>0</x:v>
      </x:c>
      <x:c r="H33" s="9"/>
      <x:c r="I33" s="2" t="str">
        <x:v>관측</x:v>
      </x:c>
      <x:c r="J33" s="2"/>
    </x:row>
    <x:row r="34" ht="25" customHeight="1">
      <x:c r="A34" s="2"/>
      <x:c r="B34" s="17" t="d">
        <x:v>2013-03-09T00:00:00.000Z</x:v>
      </x:c>
      <x:c r="C34" s="17" t="d">
        <x:v>2013-03-10T00:00:00.000Z</x:v>
      </x:c>
      <x:c r="D34" s="2" t="str">
        <x:v>멈춤-저활동형</x:v>
      </x:c>
      <x:c r="E34" s="2" t="str">
        <x:v>3일 이상</x:v>
      </x:c>
      <x:c r="F34" s="8" t="n">
        <x:v>27520</x:v>
      </x:c>
      <x:c r="G34" s="8" t="n">
        <x:v>1183</x:v>
      </x:c>
      <x:c r="H34" s="9" t="n">
        <x:f>G34/F34</x:f>
        <x:v>0.04298691860465116</x:v>
      </x:c>
      <x:c r="I34" s="2" t="str">
        <x:v>관측</x:v>
      </x:c>
      <x:c r="J34" s="2"/>
    </x:row>
    <x:row r="35" ht="25" customHeight="1">
      <x:c r="A35" s="2"/>
      <x:c r="B35" s="17" t="d">
        <x:v>2013-03-09T00:00:00.000Z</x:v>
      </x:c>
      <x:c r="C35" s="17" t="d">
        <x:v>2013-03-10T00:00:00.000Z</x:v>
      </x:c>
      <x:c r="D35" s="2" t="str">
        <x:v>멈춤-저활동형</x:v>
      </x:c>
      <x:c r="E35" s="2" t="str">
        <x:v>정확히 2일</x:v>
      </x:c>
      <x:c r="F35" s="8" t="n">
        <x:v>0</x:v>
      </x:c>
      <x:c r="G35" s="8" t="n">
        <x:v>0</x:v>
      </x:c>
      <x:c r="H35" s="9"/>
      <x:c r="I35" s="2" t="str">
        <x:v>관측</x:v>
      </x:c>
      <x:c r="J35" s="2"/>
    </x:row>
    <x:row r="36" ht="25" customHeight="1">
      <x:c r="A36" s="2"/>
      <x:c r="B36" s="16" t="d">
        <x:v>2013-03-10T00:00:00.000Z</x:v>
      </x:c>
      <x:c r="C36" s="16" t="d">
        <x:v>2013-03-11T00:00:00.000Z</x:v>
      </x:c>
      <x:c r="D36" s="11" t="str">
        <x:v>전체</x:v>
      </x:c>
      <x:c r="E36" s="11" t="str">
        <x:v>3일 이상</x:v>
      </x:c>
      <x:c r="F36" s="12" t="n">
        <x:v>57153</x:v>
      </x:c>
      <x:c r="G36" s="8" t="n">
        <x:v>3926</x:v>
      </x:c>
      <x:c r="H36" s="9" t="n">
        <x:f>G36/F36</x:f>
        <x:v>0.06869280702675275</x:v>
      </x:c>
      <x:c r="I36" s="2" t="str">
        <x:v>관측</x:v>
      </x:c>
      <x:c r="J36" s="2"/>
    </x:row>
    <x:row r="37" ht="25" customHeight="1">
      <x:c r="A37" s="2"/>
      <x:c r="B37" s="16" t="d">
        <x:v>2013-03-10T00:00:00.000Z</x:v>
      </x:c>
      <x:c r="C37" s="16" t="d">
        <x:v>2013-03-11T00:00:00.000Z</x:v>
      </x:c>
      <x:c r="D37" s="11" t="str">
        <x:v>전체</x:v>
      </x:c>
      <x:c r="E37" s="11" t="str">
        <x:v>정확히 2일</x:v>
      </x:c>
      <x:c r="F37" s="12" t="n">
        <x:v>7315</x:v>
      </x:c>
      <x:c r="G37" s="8" t="n">
        <x:v>1784</x:v>
      </x:c>
      <x:c r="H37" s="9" t="n">
        <x:f>G37/F37</x:f>
        <x:v>0.24388243335611756</x:v>
      </x:c>
      <x:c r="I37" s="2" t="str">
        <x:v>관측</x:v>
      </x:c>
      <x:c r="J37" s="2"/>
    </x:row>
    <x:row r="38" ht="25" customHeight="1">
      <x:c r="A38" s="2"/>
      <x:c r="B38" s="17" t="d">
        <x:v>2013-03-10T00:00:00.000Z</x:v>
      </x:c>
      <x:c r="C38" s="17" t="d">
        <x:v>2013-03-11T00:00:00.000Z</x:v>
      </x:c>
      <x:c r="D38" s="2" t="str">
        <x:v>꾸준형</x:v>
      </x:c>
      <x:c r="E38" s="2" t="str">
        <x:v>3일 이상</x:v>
      </x:c>
      <x:c r="F38" s="8" t="n">
        <x:v>2330</x:v>
      </x:c>
      <x:c r="G38" s="8" t="n">
        <x:v>583</x:v>
      </x:c>
      <x:c r="H38" s="9" t="n">
        <x:f>G38/F38</x:f>
        <x:v>0.2502145922746781</x:v>
      </x:c>
      <x:c r="I38" s="2" t="str">
        <x:v>관측</x:v>
      </x:c>
      <x:c r="J38" s="2"/>
    </x:row>
    <x:row r="39" ht="25" customHeight="1">
      <x:c r="A39" s="2"/>
      <x:c r="B39" s="17" t="d">
        <x:v>2013-03-10T00:00:00.000Z</x:v>
      </x:c>
      <x:c r="C39" s="17" t="d">
        <x:v>2013-03-11T00:00:00.000Z</x:v>
      </x:c>
      <x:c r="D39" s="2" t="str">
        <x:v>꾸준형</x:v>
      </x:c>
      <x:c r="E39" s="2" t="str">
        <x:v>정확히 2일</x:v>
      </x:c>
      <x:c r="F39" s="8" t="n">
        <x:v>1352</x:v>
      </x:c>
      <x:c r="G39" s="8" t="n">
        <x:v>540</x:v>
      </x:c>
      <x:c r="H39" s="9" t="n">
        <x:f>G39/F39</x:f>
        <x:v>0.3994082840236686</x:v>
      </x:c>
      <x:c r="I39" s="2" t="str">
        <x:v>관측</x:v>
      </x:c>
      <x:c r="J39" s="2"/>
    </x:row>
    <x:row r="40" ht="25" customHeight="1">
      <x:c r="A40" s="2"/>
      <x:c r="B40" s="17" t="d">
        <x:v>2013-03-10T00:00:00.000Z</x:v>
      </x:c>
      <x:c r="C40" s="17" t="d">
        <x:v>2013-03-11T00:00:00.000Z</x:v>
      </x:c>
      <x:c r="D40" s="2" t="str">
        <x:v>습관 형성형</x:v>
      </x:c>
      <x:c r="E40" s="2" t="str">
        <x:v>3일 이상</x:v>
      </x:c>
      <x:c r="F40" s="8" t="n">
        <x:v>7933</x:v>
      </x:c>
      <x:c r="G40" s="8" t="n">
        <x:v>958</x:v>
      </x:c>
      <x:c r="H40" s="9" t="n">
        <x:f>G40/F40</x:f>
        <x:v>0.12076137652842557</x:v>
      </x:c>
      <x:c r="I40" s="2" t="str">
        <x:v>관측</x:v>
      </x:c>
      <x:c r="J40" s="2"/>
    </x:row>
    <x:row r="41" ht="25" customHeight="1">
      <x:c r="A41" s="2"/>
      <x:c r="B41" s="17" t="d">
        <x:v>2013-03-10T00:00:00.000Z</x:v>
      </x:c>
      <x:c r="C41" s="17" t="d">
        <x:v>2013-03-11T00:00:00.000Z</x:v>
      </x:c>
      <x:c r="D41" s="2" t="str">
        <x:v>습관 형성형</x:v>
      </x:c>
      <x:c r="E41" s="2" t="str">
        <x:v>정확히 2일</x:v>
      </x:c>
      <x:c r="F41" s="8" t="n">
        <x:v>2165</x:v>
      </x:c>
      <x:c r="G41" s="8" t="n">
        <x:v>591</x:v>
      </x:c>
      <x:c r="H41" s="9" t="n">
        <x:f>G41/F41</x:f>
        <x:v>0.27297921478060044</x:v>
      </x:c>
      <x:c r="I41" s="2" t="str">
        <x:v>관측</x:v>
      </x:c>
      <x:c r="J41" s="2"/>
    </x:row>
    <x:row r="42" ht="25" customHeight="1">
      <x:c r="A42" s="2"/>
      <x:c r="B42" s="17" t="d">
        <x:v>2013-03-10T00:00:00.000Z</x:v>
      </x:c>
      <x:c r="C42" s="17" t="d">
        <x:v>2013-03-11T00:00:00.000Z</x:v>
      </x:c>
      <x:c r="D42" s="2" t="str">
        <x:v>최근 단발형</x:v>
      </x:c>
      <x:c r="E42" s="2" t="str">
        <x:v>3일 이상</x:v>
      </x:c>
      <x:c r="F42" s="8" t="n">
        <x:v>11058</x:v>
      </x:c>
      <x:c r="G42" s="8" t="n">
        <x:v>662</x:v>
      </x:c>
      <x:c r="H42" s="9" t="n">
        <x:f>G42/F42</x:f>
        <x:v>0.05986616024597576</x:v>
      </x:c>
      <x:c r="I42" s="2" t="str">
        <x:v>관측</x:v>
      </x:c>
      <x:c r="J42" s="2"/>
    </x:row>
    <x:row r="43" ht="25" customHeight="1">
      <x:c r="A43" s="2"/>
      <x:c r="B43" s="17" t="d">
        <x:v>2013-03-10T00:00:00.000Z</x:v>
      </x:c>
      <x:c r="C43" s="17" t="d">
        <x:v>2013-03-11T00:00:00.000Z</x:v>
      </x:c>
      <x:c r="D43" s="2" t="str">
        <x:v>최근 단발형</x:v>
      </x:c>
      <x:c r="E43" s="2" t="str">
        <x:v>정확히 2일</x:v>
      </x:c>
      <x:c r="F43" s="8" t="n">
        <x:v>1630</x:v>
      </x:c>
      <x:c r="G43" s="8" t="n">
        <x:v>292</x:v>
      </x:c>
      <x:c r="H43" s="9" t="n">
        <x:f>G43/F43</x:f>
        <x:v>0.17914110429447852</x:v>
      </x:c>
      <x:c r="I43" s="2" t="str">
        <x:v>관측</x:v>
      </x:c>
      <x:c r="J43" s="2"/>
    </x:row>
    <x:row r="44" ht="25" customHeight="1">
      <x:c r="A44" s="2"/>
      <x:c r="B44" s="17" t="d">
        <x:v>2013-03-10T00:00:00.000Z</x:v>
      </x:c>
      <x:c r="C44" s="17" t="d">
        <x:v>2013-03-11T00:00:00.000Z</x:v>
      </x:c>
      <x:c r="D44" s="2" t="str">
        <x:v>멈춤-꾸준형</x:v>
      </x:c>
      <x:c r="E44" s="2" t="str">
        <x:v>3일 이상</x:v>
      </x:c>
      <x:c r="F44" s="8" t="n">
        <x:v>2202</x:v>
      </x:c>
      <x:c r="G44" s="8" t="n">
        <x:v>233</x:v>
      </x:c>
      <x:c r="H44" s="9" t="n">
        <x:f>G44/F44</x:f>
        <x:v>0.10581289736603088</x:v>
      </x:c>
      <x:c r="I44" s="2" t="str">
        <x:v>관측</x:v>
      </x:c>
      <x:c r="J44" s="2"/>
    </x:row>
    <x:row r="45" ht="25" customHeight="1">
      <x:c r="A45" s="2"/>
      <x:c r="B45" s="17" t="d">
        <x:v>2013-03-10T00:00:00.000Z</x:v>
      </x:c>
      <x:c r="C45" s="17" t="d">
        <x:v>2013-03-11T00:00:00.000Z</x:v>
      </x:c>
      <x:c r="D45" s="2" t="str">
        <x:v>멈춤-꾸준형</x:v>
      </x:c>
      <x:c r="E45" s="2" t="str">
        <x:v>정확히 2일</x:v>
      </x:c>
      <x:c r="F45" s="8" t="n">
        <x:v>322</x:v>
      </x:c>
      <x:c r="G45" s="8" t="n">
        <x:v>84</x:v>
      </x:c>
      <x:c r="H45" s="9" t="n">
        <x:f>G45/F45</x:f>
        <x:v>0.2608695652173913</x:v>
      </x:c>
      <x:c r="I45" s="2" t="str">
        <x:v>관측</x:v>
      </x:c>
      <x:c r="J45" s="2"/>
    </x:row>
    <x:row r="46" ht="25" customHeight="1">
      <x:c r="A46" s="2"/>
      <x:c r="B46" s="17" t="d">
        <x:v>2013-03-10T00:00:00.000Z</x:v>
      </x:c>
      <x:c r="C46" s="17" t="d">
        <x:v>2013-03-11T00:00:00.000Z</x:v>
      </x:c>
      <x:c r="D46" s="2" t="str">
        <x:v>멈춤-몰입형</x:v>
      </x:c>
      <x:c r="E46" s="2" t="str">
        <x:v>3일 이상</x:v>
      </x:c>
      <x:c r="F46" s="8" t="n">
        <x:v>7293</x:v>
      </x:c>
      <x:c r="G46" s="8" t="n">
        <x:v>446</x:v>
      </x:c>
      <x:c r="H46" s="9" t="n">
        <x:f>G46/F46</x:f>
        <x:v>0.06115453174276703</x:v>
      </x:c>
      <x:c r="I46" s="2" t="str">
        <x:v>관측</x:v>
      </x:c>
      <x:c r="J46" s="2"/>
    </x:row>
    <x:row r="47" ht="25" customHeight="1">
      <x:c r="A47" s="2"/>
      <x:c r="B47" s="17" t="d">
        <x:v>2013-03-10T00:00:00.000Z</x:v>
      </x:c>
      <x:c r="C47" s="17" t="d">
        <x:v>2013-03-11T00:00:00.000Z</x:v>
      </x:c>
      <x:c r="D47" s="2" t="str">
        <x:v>멈춤-몰입형</x:v>
      </x:c>
      <x:c r="E47" s="2" t="str">
        <x:v>정확히 2일</x:v>
      </x:c>
      <x:c r="F47" s="8" t="n">
        <x:v>568</x:v>
      </x:c>
      <x:c r="G47" s="8" t="n">
        <x:v>102</x:v>
      </x:c>
      <x:c r="H47" s="9" t="n">
        <x:f>G47/F47</x:f>
        <x:v>0.1795774647887324</x:v>
      </x:c>
      <x:c r="I47" s="2" t="str">
        <x:v>관측</x:v>
      </x:c>
      <x:c r="J47" s="2"/>
    </x:row>
    <x:row r="48" ht="25" customHeight="1">
      <x:c r="A48" s="2"/>
      <x:c r="B48" s="17" t="d">
        <x:v>2013-03-10T00:00:00.000Z</x:v>
      </x:c>
      <x:c r="C48" s="17" t="d">
        <x:v>2013-03-11T00:00:00.000Z</x:v>
      </x:c>
      <x:c r="D48" s="2" t="str">
        <x:v>멈춤-저활동형</x:v>
      </x:c>
      <x:c r="E48" s="2" t="str">
        <x:v>3일 이상</x:v>
      </x:c>
      <x:c r="F48" s="8" t="n">
        <x:v>26337</x:v>
      </x:c>
      <x:c r="G48" s="8" t="n">
        <x:v>1044</x:v>
      </x:c>
      <x:c r="H48" s="9" t="n">
        <x:f>G48/F48</x:f>
        <x:v>0.0396400501196036</x:v>
      </x:c>
      <x:c r="I48" s="2" t="str">
        <x:v>관측</x:v>
      </x:c>
      <x:c r="J48" s="2"/>
    </x:row>
    <x:row r="49" ht="25" customHeight="1">
      <x:c r="A49" s="2"/>
      <x:c r="B49" s="17" t="d">
        <x:v>2013-03-10T00:00:00.000Z</x:v>
      </x:c>
      <x:c r="C49" s="17" t="d">
        <x:v>2013-03-11T00:00:00.000Z</x:v>
      </x:c>
      <x:c r="D49" s="2" t="str">
        <x:v>멈춤-저활동형</x:v>
      </x:c>
      <x:c r="E49" s="2" t="str">
        <x:v>정확히 2일</x:v>
      </x:c>
      <x:c r="F49" s="8" t="n">
        <x:v>1278</x:v>
      </x:c>
      <x:c r="G49" s="8" t="n">
        <x:v>175</x:v>
      </x:c>
      <x:c r="H49" s="9" t="n">
        <x:f>G49/F49</x:f>
        <x:v>0.13693270735524257</x:v>
      </x:c>
      <x:c r="I49" s="2" t="str">
        <x:v>관측</x:v>
      </x:c>
      <x:c r="J49" s="2"/>
    </x:row>
    <x:row r="50" ht="25" customHeight="1">
      <x:c r="A50" s="2"/>
      <x:c r="B50" s="16" t="d">
        <x:v>2013-03-11T00:00:00.000Z</x:v>
      </x:c>
      <x:c r="C50" s="16" t="d">
        <x:v>2013-03-12T00:00:00.000Z</x:v>
      </x:c>
      <x:c r="D50" s="11" t="str">
        <x:v>전체</x:v>
      </x:c>
      <x:c r="E50" s="11" t="str">
        <x:v>3일 이상</x:v>
      </x:c>
      <x:c r="F50" s="12" t="n">
        <x:v>58758</x:v>
      </x:c>
      <x:c r="G50" s="20"/>
      <x:c r="H50" s="21"/>
      <x:c r="I50" s="19" t="str">
        <x:v>미관측</x:v>
      </x:c>
      <x:c r="J50" s="2"/>
    </x:row>
    <x:row r="51" ht="25" customHeight="1">
      <x:c r="A51" s="2"/>
      <x:c r="B51" s="16" t="d">
        <x:v>2013-03-11T00:00:00.000Z</x:v>
      </x:c>
      <x:c r="C51" s="16" t="d">
        <x:v>2013-03-12T00:00:00.000Z</x:v>
      </x:c>
      <x:c r="D51" s="11" t="str">
        <x:v>전체</x:v>
      </x:c>
      <x:c r="E51" s="11" t="str">
        <x:v>정확히 2일</x:v>
      </x:c>
      <x:c r="F51" s="12" t="n">
        <x:v>4798</x:v>
      </x:c>
      <x:c r="G51" s="20"/>
      <x:c r="H51" s="21"/>
      <x:c r="I51" s="19" t="str">
        <x:v>미관측</x:v>
      </x:c>
      <x:c r="J51" s="2"/>
    </x:row>
    <x:row r="52" ht="25" customHeight="1">
      <x:c r="A52" s="2"/>
      <x:c r="B52" s="17" t="d">
        <x:v>2013-03-11T00:00:00.000Z</x:v>
      </x:c>
      <x:c r="C52" s="17" t="d">
        <x:v>2013-03-12T00:00:00.000Z</x:v>
      </x:c>
      <x:c r="D52" s="2" t="str">
        <x:v>꾸준형</x:v>
      </x:c>
      <x:c r="E52" s="2" t="str">
        <x:v>3일 이상</x:v>
      </x:c>
      <x:c r="F52" s="8" t="n">
        <x:v>2559</x:v>
      </x:c>
      <x:c r="G52" s="20"/>
      <x:c r="H52" s="21"/>
      <x:c r="I52" s="19" t="str">
        <x:v>미관측</x:v>
      </x:c>
      <x:c r="J52" s="2"/>
    </x:row>
    <x:row r="53" ht="25" customHeight="1">
      <x:c r="A53" s="2"/>
      <x:c r="B53" s="17" t="d">
        <x:v>2013-03-11T00:00:00.000Z</x:v>
      </x:c>
      <x:c r="C53" s="17" t="d">
        <x:v>2013-03-12T00:00:00.000Z</x:v>
      </x:c>
      <x:c r="D53" s="2" t="str">
        <x:v>꾸준형</x:v>
      </x:c>
      <x:c r="E53" s="2" t="str">
        <x:v>정확히 2일</x:v>
      </x:c>
      <x:c r="F53" s="8" t="n">
        <x:v>811</x:v>
      </x:c>
      <x:c r="G53" s="20"/>
      <x:c r="H53" s="21"/>
      <x:c r="I53" s="19" t="str">
        <x:v>미관측</x:v>
      </x:c>
      <x:c r="J53" s="2"/>
    </x:row>
    <x:row r="54" ht="25" customHeight="1">
      <x:c r="A54" s="2"/>
      <x:c r="B54" s="17" t="d">
        <x:v>2013-03-11T00:00:00.000Z</x:v>
      </x:c>
      <x:c r="C54" s="17" t="d">
        <x:v>2013-03-12T00:00:00.000Z</x:v>
      </x:c>
      <x:c r="D54" s="2" t="str">
        <x:v>습관 형성형</x:v>
      </x:c>
      <x:c r="E54" s="2" t="str">
        <x:v>3일 이상</x:v>
      </x:c>
      <x:c r="F54" s="8" t="n">
        <x:v>8549</x:v>
      </x:c>
      <x:c r="G54" s="20"/>
      <x:c r="H54" s="21"/>
      <x:c r="I54" s="19" t="str">
        <x:v>미관측</x:v>
      </x:c>
      <x:c r="J54" s="2"/>
    </x:row>
    <x:row r="55" ht="25" customHeight="1">
      <x:c r="A55" s="2"/>
      <x:c r="B55" s="17" t="d">
        <x:v>2013-03-11T00:00:00.000Z</x:v>
      </x:c>
      <x:c r="C55" s="17" t="d">
        <x:v>2013-03-12T00:00:00.000Z</x:v>
      </x:c>
      <x:c r="D55" s="2" t="str">
        <x:v>습관 형성형</x:v>
      </x:c>
      <x:c r="E55" s="2" t="str">
        <x:v>정확히 2일</x:v>
      </x:c>
      <x:c r="F55" s="8" t="n">
        <x:v>1281</x:v>
      </x:c>
      <x:c r="G55" s="20"/>
      <x:c r="H55" s="21"/>
      <x:c r="I55" s="19" t="str">
        <x:v>미관측</x:v>
      </x:c>
      <x:c r="J55" s="2"/>
    </x:row>
    <x:row r="56" ht="25" customHeight="1">
      <x:c r="A56" s="2"/>
      <x:c r="B56" s="17" t="d">
        <x:v>2013-03-11T00:00:00.000Z</x:v>
      </x:c>
      <x:c r="C56" s="17" t="d">
        <x:v>2013-03-12T00:00:00.000Z</x:v>
      </x:c>
      <x:c r="D56" s="2" t="str">
        <x:v>최근 단발형</x:v>
      </x:c>
      <x:c r="E56" s="2" t="str">
        <x:v>3일 이상</x:v>
      </x:c>
      <x:c r="F56" s="8" t="n">
        <x:v>11734</x:v>
      </x:c>
      <x:c r="G56" s="20"/>
      <x:c r="H56" s="21"/>
      <x:c r="I56" s="19" t="str">
        <x:v>미관측</x:v>
      </x:c>
      <x:c r="J56" s="2"/>
    </x:row>
    <x:row r="57" ht="25" customHeight="1">
      <x:c r="A57" s="2"/>
      <x:c r="B57" s="17" t="d">
        <x:v>2013-03-11T00:00:00.000Z</x:v>
      </x:c>
      <x:c r="C57" s="17" t="d">
        <x:v>2013-03-12T00:00:00.000Z</x:v>
      </x:c>
      <x:c r="D57" s="2" t="str">
        <x:v>최근 단발형</x:v>
      </x:c>
      <x:c r="E57" s="2" t="str">
        <x:v>정확히 2일</x:v>
      </x:c>
      <x:c r="F57" s="8" t="n">
        <x:v>922</x:v>
      </x:c>
      <x:c r="G57" s="20"/>
      <x:c r="H57" s="21"/>
      <x:c r="I57" s="19" t="str">
        <x:v>미관측</x:v>
      </x:c>
      <x:c r="J57" s="2"/>
    </x:row>
    <x:row r="58" ht="25" customHeight="1">
      <x:c r="A58" s="2"/>
      <x:c r="B58" s="17" t="d">
        <x:v>2013-03-11T00:00:00.000Z</x:v>
      </x:c>
      <x:c r="C58" s="17" t="d">
        <x:v>2013-03-12T00:00:00.000Z</x:v>
      </x:c>
      <x:c r="D58" s="2" t="str">
        <x:v>멈춤-꾸준형</x:v>
      </x:c>
      <x:c r="E58" s="2" t="str">
        <x:v>3일 이상</x:v>
      </x:c>
      <x:c r="F58" s="8" t="n">
        <x:v>2207</x:v>
      </x:c>
      <x:c r="G58" s="20"/>
      <x:c r="H58" s="21"/>
      <x:c r="I58" s="19" t="str">
        <x:v>미관측</x:v>
      </x:c>
      <x:c r="J58" s="2"/>
    </x:row>
    <x:row r="59" ht="25" customHeight="1">
      <x:c r="A59" s="2"/>
      <x:c r="B59" s="17" t="d">
        <x:v>2013-03-11T00:00:00.000Z</x:v>
      </x:c>
      <x:c r="C59" s="17" t="d">
        <x:v>2013-03-12T00:00:00.000Z</x:v>
      </x:c>
      <x:c r="D59" s="2" t="str">
        <x:v>멈춤-꾸준형</x:v>
      </x:c>
      <x:c r="E59" s="2" t="str">
        <x:v>정확히 2일</x:v>
      </x:c>
      <x:c r="F59" s="8" t="n">
        <x:v>305</x:v>
      </x:c>
      <x:c r="G59" s="20"/>
      <x:c r="H59" s="21"/>
      <x:c r="I59" s="19" t="str">
        <x:v>미관측</x:v>
      </x:c>
      <x:c r="J59" s="2"/>
    </x:row>
    <x:row r="60" ht="25" customHeight="1">
      <x:c r="A60" s="2"/>
      <x:c r="B60" s="17" t="d">
        <x:v>2013-03-11T00:00:00.000Z</x:v>
      </x:c>
      <x:c r="C60" s="17" t="d">
        <x:v>2013-03-12T00:00:00.000Z</x:v>
      </x:c>
      <x:c r="D60" s="2" t="str">
        <x:v>멈춤-몰입형</x:v>
      </x:c>
      <x:c r="E60" s="2" t="str">
        <x:v>3일 이상</x:v>
      </x:c>
      <x:c r="F60" s="8" t="n">
        <x:v>7313</x:v>
      </x:c>
      <x:c r="G60" s="20"/>
      <x:c r="H60" s="21"/>
      <x:c r="I60" s="19" t="str">
        <x:v>미관측</x:v>
      </x:c>
      <x:c r="J60" s="2"/>
    </x:row>
    <x:row r="61" ht="25" customHeight="1">
      <x:c r="A61" s="2"/>
      <x:c r="B61" s="17" t="d">
        <x:v>2013-03-11T00:00:00.000Z</x:v>
      </x:c>
      <x:c r="C61" s="17" t="d">
        <x:v>2013-03-12T00:00:00.000Z</x:v>
      </x:c>
      <x:c r="D61" s="2" t="str">
        <x:v>멈춤-몰입형</x:v>
      </x:c>
      <x:c r="E61" s="2" t="str">
        <x:v>정확히 2일</x:v>
      </x:c>
      <x:c r="F61" s="8" t="n">
        <x:v>462</x:v>
      </x:c>
      <x:c r="G61" s="20"/>
      <x:c r="H61" s="21"/>
      <x:c r="I61" s="19" t="str">
        <x:v>미관측</x:v>
      </x:c>
      <x:c r="J61" s="2"/>
    </x:row>
    <x:row r="62" ht="25" customHeight="1">
      <x:c r="A62" s="2"/>
      <x:c r="B62" s="17" t="d">
        <x:v>2013-03-11T00:00:00.000Z</x:v>
      </x:c>
      <x:c r="C62" s="17" t="d">
        <x:v>2013-03-12T00:00:00.000Z</x:v>
      </x:c>
      <x:c r="D62" s="2" t="str">
        <x:v>멈춤-저활동형</x:v>
      </x:c>
      <x:c r="E62" s="2" t="str">
        <x:v>3일 이상</x:v>
      </x:c>
      <x:c r="F62" s="8" t="n">
        <x:v>26396</x:v>
      </x:c>
      <x:c r="G62" s="20"/>
      <x:c r="H62" s="21"/>
      <x:c r="I62" s="19" t="str">
        <x:v>미관측</x:v>
      </x:c>
      <x:c r="J62" s="2"/>
    </x:row>
    <x:row r="63" ht="25" customHeight="1">
      <x:c r="A63" s="2"/>
      <x:c r="B63" s="17" t="d">
        <x:v>2013-03-11T00:00:00.000Z</x:v>
      </x:c>
      <x:c r="C63" s="17" t="d">
        <x:v>2013-03-12T00:00:00.000Z</x:v>
      </x:c>
      <x:c r="D63" s="2" t="str">
        <x:v>멈춤-저활동형</x:v>
      </x:c>
      <x:c r="E63" s="2" t="str">
        <x:v>정확히 2일</x:v>
      </x:c>
      <x:c r="F63" s="8" t="n">
        <x:v>1017</x:v>
      </x:c>
      <x:c r="G63" s="20"/>
      <x:c r="H63" s="21"/>
      <x:c r="I63" s="19" t="str">
        <x:v>미관측</x:v>
      </x:c>
      <x:c r="J63" s="2"/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 ht="2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</x:sheetData>
  <x:pageMargins left="0.7" right="0.7" top="0.75" bottom="0.75" header="0.3" footer="0.3"/>
</x:worksheet>
</file>