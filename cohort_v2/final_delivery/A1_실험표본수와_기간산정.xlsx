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bc23782cf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본 수와 모집 기간" sheetId="1" r:id="Rf579431b94e8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0"/>
    <x:numFmt numFmtId="203" formatCode="#,##0.0"/>
  </x:numFmts>
  <x:fonts count="5">
    <x:font>
      <x:sz val="11"/>
      <x:name val="Carlito"/>
    </x:font>
    <x:font>
      <x:sz val="10"/>
      <x:color rgb="FF24364B"/>
      <x:name val="Malgun Gothic"/>
    </x:font>
    <x:font>
      <x:b/>
      <x:sz val="15"/>
      <x:color rgb="FF334B68"/>
      <x:name val="Malgun Gothic"/>
    </x:font>
    <x:font>
      <x:b/>
      <x:sz val="14"/>
      <x:color rgb="FF334B68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34B68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E0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8628008994a93" /><Relationship Type="http://schemas.openxmlformats.org/officeDocument/2006/relationships/theme" Target="/xl/theme/theme1.xml" Id="Red4ea295c3e24052" /><Relationship Type="http://schemas.openxmlformats.org/officeDocument/2006/relationships/sharedStrings" Target="/xl/sharedStrings.xml" Id="R4371dda6df76484a" /><Relationship Type="http://schemas.openxmlformats.org/officeDocument/2006/relationships/worksheet" Target="/xl/worksheets/sheet1.xml" Id="Rf579431b94e8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4" t="str">
        <x:v>A1 실험의 표본 수와 모집 기간</x:v>
      </x:c>
      <x:c r="C2" s="3"/>
      <x:c r="D2" s="3"/>
      <x:c r="E2" s="3"/>
      <x:c r="F2" s="3"/>
      <x:c r="G2" s="3"/>
      <x:c r="H2" s="3"/>
      <x:c r="I2" s="3"/>
      <x:c r="J2" s="2"/>
    </x:row>
    <x:row r="3" ht="25" customHeight="1">
      <x:c r="A3" s="2"/>
      <x:c r="B3" s="2" t="str">
        <x:v>양측 α=0.05, 1:1 배정. +3%p는 계획용 가정이며 실제 효과가 아니다. 작성 2026.10.13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 t="str">
        <x:v>총 필요 표본</x:v>
      </x:c>
      <x:c r="C4" s="6" t="n">
        <x:f>IF(C14&lt;&gt;"정상","",2*G4)</x:f>
        <x:v>8692</x:v>
      </x:c>
      <x:c r="D4" s="2"/>
      <x:c r="E4" s="2"/>
      <x:c r="F4" s="2" t="str">
        <x:v>군별 필요 표본</x:v>
      </x:c>
      <x:c r="G4" s="6" t="n">
        <x:f>IF(C14&lt;&gt;"정상","",CEILING(G12,2))</x:f>
        <x:v>4346</x:v>
      </x:c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 t="str">
        <x:v>기준률</x:v>
      </x:c>
      <x:c r="C6" s="8" t="n">
        <x:v>0.45555555555555555</x:v>
      </x:c>
      <x:c r="D6" s="2"/>
      <x:c r="E6" s="2"/>
      <x:c r="F6" s="2" t="str">
        <x:v>안내군 가정 비율</x:v>
      </x:c>
      <x:c r="G6" s="10" t="n">
        <x:f>IF(C14&lt;&gt;"정상","",C6+C7)</x:f>
        <x:v>0.4855555555555555</x:v>
      </x:c>
      <x:c r="H6" s="2"/>
      <x:c r="I6" s="2"/>
      <x:c r="J6" s="2"/>
    </x:row>
    <x:row r="7" ht="25" customHeight="1">
      <x:c r="A7" s="2"/>
      <x:c r="B7" s="2" t="str">
        <x:v>탐지 개선 폭</x:v>
      </x:c>
      <x:c r="C7" s="8" t="n">
        <x:v>0.03</x:v>
      </x:c>
      <x:c r="D7" s="2"/>
      <x:c r="E7" s="2"/>
      <x:c r="F7" s="2" t="str">
        <x:v>두 군 평균 비율</x:v>
      </x:c>
      <x:c r="G7" s="10" t="n">
        <x:f>IF(C14&lt;&gt;"정상","",AVERAGE(C6,G6))</x:f>
        <x:v>0.4705555555555555</x:v>
      </x:c>
      <x:c r="H7" s="2"/>
      <x:c r="I7" s="2"/>
      <x:c r="J7" s="2"/>
    </x:row>
    <x:row r="8" ht="25" customHeight="1">
      <x:c r="A8" s="2"/>
      <x:c r="B8" s="2" t="str">
        <x:v>양측 유의수준</x:v>
      </x:c>
      <x:c r="C8" s="8" t="n">
        <x:v>0.05</x:v>
      </x:c>
      <x:c r="D8" s="2"/>
      <x:c r="E8" s="2"/>
      <x:c r="F8" s="2" t="str">
        <x:v>양측 임계 z</x:v>
      </x:c>
      <x:c r="G8" s="11" t="n">
        <x:f>IF(C14&lt;&gt;"정상","",_xlfn.NORM.S.INV(1-C8/2))</x:f>
        <x:v>1.9599639845400545</x:v>
      </x:c>
      <x:c r="H8" s="2"/>
      <x:c r="I8" s="2"/>
      <x:c r="J8" s="2"/>
    </x:row>
    <x:row r="9" ht="25" customHeight="1">
      <x:c r="A9" s="2"/>
      <x:c r="B9" s="2" t="str">
        <x:v>목표 검정력</x:v>
      </x:c>
      <x:c r="C9" s="8" t="n">
        <x:v>0.8</x:v>
      </x:c>
      <x:c r="D9" s="2"/>
      <x:c r="E9" s="2"/>
      <x:c r="F9" s="2" t="str">
        <x:v>검정력 z</x:v>
      </x:c>
      <x:c r="G9" s="11" t="n">
        <x:f>IF(C14&lt;&gt;"정상","",_xlfn.NORM.S.INV(C9))</x:f>
        <x:v>0.8416212335729145</x:v>
      </x:c>
      <x:c r="H9" s="2"/>
      <x:c r="I9" s="2"/>
      <x:c r="J9" s="2"/>
    </x:row>
    <x:row r="10" ht="25" customHeight="1">
      <x:c r="A10" s="2"/>
      <x:c r="B10" s="2" t="str">
        <x:v>실제 신규 자격 인원/일</x:v>
      </x:c>
      <x:c r="C10" s="9"/>
      <x:c r="D10" s="2"/>
      <x:c r="E10" s="2"/>
      <x:c r="F10" s="2" t="str">
        <x:v>통합 분산 SD 계수</x:v>
      </x:c>
      <x:c r="G10" s="11" t="n">
        <x:f>IF(C14&lt;&gt;"정상","",SQRT(2*G7*(1-G7)))</x:f>
        <x:v>0.7058796281114196</x:v>
      </x:c>
      <x:c r="H10" s="2"/>
      <x:c r="I10" s="2"/>
      <x:c r="J10" s="2"/>
    </x:row>
    <x:row r="11" ht="25" customHeight="1">
      <x:c r="A11" s="2"/>
      <x:c r="B11" s="2" t="str">
        <x:v>최소 모집 날짜 수</x:v>
      </x:c>
      <x:c r="C11" s="9" t="n">
        <x:v>14</x:v>
      </x:c>
      <x:c r="D11" s="2"/>
      <x:c r="E11" s="2"/>
      <x:c r="F11" s="2" t="str">
        <x:v>군별 분산 SD 계수</x:v>
      </x:c>
      <x:c r="G11" s="11" t="n">
        <x:f>IF(C14&lt;&gt;"정상","",SQRT(C6*(1-C6)+G6*(1-G6)))</x:f>
        <x:v>0.7055608048798602</x:v>
      </x:c>
      <x:c r="H11" s="2"/>
      <x:c r="I11" s="2"/>
      <x:c r="J11" s="2"/>
    </x:row>
    <x:row r="12" ht="25" customHeight="1">
      <x:c r="A12" s="2"/>
      <x:c r="B12" s="2" t="str">
        <x:v>수집 지연 대기 날짜 수</x:v>
      </x:c>
      <x:c r="C12" s="9" t="n">
        <x:v>2</x:v>
      </x:c>
      <x:c r="D12" s="2"/>
      <x:c r="E12" s="2"/>
      <x:c r="F12" s="2" t="str">
        <x:v>군별 표본 반올림 전</x:v>
      </x:c>
      <x:c r="G12" s="12" t="n">
        <x:f>IF(C14&lt;&gt;"정상","",((G8*G10+G9*G11)/C7)^2)</x:f>
        <x:v>4344.187873908145</x:v>
      </x:c>
      <x:c r="H12" s="2"/>
      <x:c r="I12" s="2"/>
      <x:c r="J12" s="2"/>
    </x:row>
    <x:row r="13" ht="25" customHeight="1">
      <x:c r="A13" s="2"/>
      <x:c r="B13" s="2" t="str">
        <x:v>최대 모집 날짜 수</x:v>
      </x:c>
      <x:c r="C13" s="9" t="n">
        <x:v>28</x:v>
      </x:c>
      <x:c r="D13" s="2"/>
      <x:c r="E13" s="2"/>
      <x:c r="F13" s="2"/>
      <x:c r="G13" s="2"/>
      <x:c r="H13" s="2"/>
      <x:c r="I13" s="2"/>
      <x:c r="J13" s="2"/>
    </x:row>
    <x:row r="14" ht="25" customHeight="1">
      <x:c r="A14" s="2"/>
      <x:c r="B14" s="2" t="str">
        <x:v>입력 관계 검증</x:v>
      </x:c>
      <x:c r="C14" s="2" t="str">
        <x:f>IF(COUNT(C6:C9,C11:C13)&lt;&gt;7,"입력 관계 오류",IF(AND(C6&gt;0,C7&gt;0,C6+C7&lt;1,C8&gt;0,C8&lt;1,C9&gt;0.5,C9&lt;1,C11&gt;=1,C13&gt;=C11,C12&gt;=0,MOD(C11,1)=0,MOD(C12,1)=0,MOD(C13,1)=0),"정상","입력 관계 오류"))</x:f>
        <x:v>정상</x:v>
      </x:c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 t="str">
        <x:v>목표까지 필요한 모집일</x:v>
      </x:c>
      <x:c r="C15" s="13" t="str">
        <x:f>IF(C14&lt;&gt;"정상","",IF(ISBLANK(C10),"",IF(NOT(ISNUMBER(C10)),"양수 입력",IF(C10&lt;=0,"양수 입력",MAX(C11,ROUNDUP(C4/C10,0))))))</x:f>
      </x:c>
      <x:c r="D15" s="2"/>
      <x:c r="E15" s="2"/>
      <x:c r="F15" s="2" t="str">
        <x:v>노란 입력 칸을 바꾸면 표본과 기간이 다시 계산된다.</x:v>
      </x:c>
      <x:c r="G15" s="2"/>
      <x:c r="H15" s="2"/>
      <x:c r="I15" s="2"/>
      <x:c r="J15" s="2"/>
    </x:row>
    <x:row r="16" ht="25" customHeight="1">
      <x:c r="A16" s="2"/>
      <x:c r="B16" s="2" t="str">
        <x:v>표본 충족 여부</x:v>
      </x:c>
      <x:c r="C16" s="13" t="str">
        <x:f>IF(C14&lt;&gt;"정상","입력 관계 오류",IF(ISBLANK(C10),"유입량 미입력",IF(NOT(ISNUMBER(C10)),"양수 입력",IF(C10&lt;=0,"양수 입력",IF(C15&gt;C13,"상한 내 표본 부족","기간 내 충족 가정")))))</x:f>
        <x:v>유입량 미입력</x:v>
      </x:c>
      <x:c r="D16" s="2"/>
      <x:c r="E16" s="2"/>
      <x:c r="F16" s="2" t="str">
        <x:v>기준률+개선 폭&lt;100%, 검정력&gt;50%를 유지한다.</x:v>
      </x:c>
      <x:c r="G16" s="2"/>
      <x:c r="H16" s="2"/>
      <x:c r="I16" s="2"/>
      <x:c r="J16" s="2"/>
    </x:row>
    <x:row r="17" ht="25" customHeight="1">
      <x:c r="A17" s="2"/>
      <x:c r="B17" s="2" t="str">
        <x:v>상한 적용 모집일</x:v>
      </x:c>
      <x:c r="C17" s="13" t="str">
        <x:f>IF(C14&lt;&gt;"정상","",IF(NOT(ISNUMBER(C10)),"",IF(C10&lt;=0,"",MIN(C15,C13))))</x:f>
      </x:c>
      <x:c r="D17" s="2"/>
      <x:c r="E17" s="2"/>
      <x:c r="F17" s="2" t="str">
        <x:v>미입력·0 유입량은 확정 기간으로 계산하지 않는다.</x:v>
      </x:c>
      <x:c r="G17" s="2"/>
      <x:c r="H17" s="2"/>
      <x:c r="I17" s="2"/>
      <x:c r="J17" s="2"/>
    </x:row>
    <x:row r="18" ht="25" customHeight="1">
      <x:c r="A18" s="2"/>
      <x:c r="B18" s="2" t="str">
        <x:v>주 결과 확인까지 일수</x:v>
      </x:c>
      <x:c r="C18" s="13" t="str">
        <x:f>IF(C17="","",SUM(C17,2,C12))</x:f>
      </x:c>
      <x:c r="D18" s="2"/>
      <x:c r="E18" s="2"/>
      <x:c r="F18" s="2" t="str">
        <x:v>기간 상한 초과는 계획 검정력을 충족한다는 뜻이 아니다.</x:v>
      </x:c>
      <x:c r="G18" s="2"/>
      <x:c r="H18" s="2"/>
      <x:c r="I18" s="2"/>
      <x:c r="J18" s="2"/>
    </x:row>
    <x:row r="19" ht="25" customHeight="1">
      <x:c r="A19" s="2"/>
      <x:c r="B19" s="2" t="str">
        <x:v>보조 NSM 확인까지 일수</x:v>
      </x:c>
      <x:c r="C19" s="2" t="str">
        <x:f>IF(C17="","",SUM(C17,7,C12))</x:f>
      </x:c>
      <x:c r="D19" s="2"/>
      <x:c r="E19" s="2"/>
      <x:c r="F19" s="2"/>
      <x:c r="G19" s="2"/>
      <x:c r="H19" s="2"/>
      <x:c r="I19" s="2"/>
      <x:c r="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8" customHeight="1">
      <x:c r="A21" s="2"/>
      <x:c r="B21" s="16" t="str">
        <x:v>개선 폭</x:v>
      </x:c>
      <x:c r="C21" s="16" t="str">
        <x:v>검정력</x:v>
      </x:c>
      <x:c r="D21" s="16" t="str">
        <x:v>안내군 가정율</x:v>
      </x:c>
      <x:c r="E21" s="16" t="str">
        <x:v>두 군 평균</x:v>
      </x:c>
      <x:c r="F21" s="16" t="str">
        <x:v>통합 SD</x:v>
      </x:c>
      <x:c r="G21" s="16" t="str">
        <x:v>군별 SD</x:v>
      </x:c>
      <x:c r="H21" s="16" t="str">
        <x:v>군별 표본</x:v>
      </x:c>
      <x:c r="I21" s="16" t="str">
        <x:v>총 표본</x:v>
      </x:c>
      <x:c r="J21" s="2"/>
    </x:row>
    <x:row r="22" ht="25" customHeight="1">
      <x:c r="A22" s="2"/>
      <x:c r="B22" s="10" t="n">
        <x:v>0.02</x:v>
      </x:c>
      <x:c r="C22" s="10" t="n">
        <x:v>0.8</x:v>
      </x:c>
      <x:c r="D22" s="10" t="n">
        <x:f>IF(OR($C$14&lt;&gt;"정상",$C$6+B22&gt;=1),"",$C$6+B22)</x:f>
        <x:v>0.47555555555555556</x:v>
      </x:c>
      <x:c r="E22" s="10" t="n">
        <x:f>IF(OR($C$14&lt;&gt;"정상",$C$6+B22&gt;=1),"",AVERAGE($C$6,D22))</x:f>
        <x:v>0.46555555555555556</x:v>
      </x:c>
      <x:c r="F22" s="11" t="n">
        <x:f>IF(OR($C$14&lt;&gt;"정상",$C$6+B22&gt;=1),"",SQRT(2*E22*(1-E22)))</x:f>
        <x:v>0.7054269349080933</x:v>
      </x:c>
      <x:c r="G22" s="11" t="n">
        <x:f>IF(OR($C$14&lt;&gt;"정상",$C$6+B22&gt;=1),"",SQRT($C$6*(1-$C$6)+D22*(1-D22)))</x:f>
        <x:v>0.7052851625362802</x:v>
      </x:c>
      <x:c r="H22" s="13" t="n">
        <x:f>IF(OR($C$14&lt;&gt;"정상",$C$6+B22&gt;=1),"",CEILING((($G$8*F22+_xlfn.NORM.S.INV(C22)*G22)/B22)^2,2))</x:f>
        <x:v>9764</x:v>
      </x:c>
      <x:c r="I22" s="13" t="n">
        <x:f>IF(OR($C$14&lt;&gt;"정상",$C$6+B22&gt;=1),"",2*H22)</x:f>
        <x:v>19528</x:v>
      </x:c>
      <x:c r="J22" s="2"/>
    </x:row>
    <x:row r="23" ht="25" customHeight="1">
      <x:c r="A23" s="2"/>
      <x:c r="B23" s="17" t="n">
        <x:v>0.03</x:v>
      </x:c>
      <x:c r="C23" s="17" t="n">
        <x:v>0.8</x:v>
      </x:c>
      <x:c r="D23" s="17" t="n">
        <x:f>IF(OR($C$14&lt;&gt;"정상",$C$6+B23&gt;=1),"",$C$6+B23)</x:f>
        <x:v>0.4855555555555555</x:v>
      </x:c>
      <x:c r="E23" s="17" t="n">
        <x:f>IF(OR($C$14&lt;&gt;"정상",$C$6+B23&gt;=1),"",AVERAGE($C$6,D23))</x:f>
        <x:v>0.4705555555555555</x:v>
      </x:c>
      <x:c r="F23" s="18" t="n">
        <x:f>IF(OR($C$14&lt;&gt;"정상",$C$6+B23&gt;=1),"",SQRT(2*E23*(1-E23)))</x:f>
        <x:v>0.7058796281114196</x:v>
      </x:c>
      <x:c r="G23" s="18" t="n">
        <x:f>IF(OR($C$14&lt;&gt;"정상",$C$6+B23&gt;=1),"",SQRT($C$6*(1-$C$6)+D23*(1-D23)))</x:f>
        <x:v>0.7055608048798602</x:v>
      </x:c>
      <x:c r="H23" s="19" t="n">
        <x:f>IF(OR($C$14&lt;&gt;"정상",$C$6+B23&gt;=1),"",CEILING((($G$8*F23+_xlfn.NORM.S.INV(C23)*G23)/B23)^2,2))</x:f>
        <x:v>4346</x:v>
      </x:c>
      <x:c r="I23" s="19" t="n">
        <x:f>IF(OR($C$14&lt;&gt;"정상",$C$6+B23&gt;=1),"",2*H23)</x:f>
        <x:v>8692</x:v>
      </x:c>
      <x:c r="J23" s="2"/>
    </x:row>
    <x:row r="24" ht="25" customHeight="1">
      <x:c r="A24" s="2"/>
      <x:c r="B24" s="10" t="n">
        <x:v>0.05</x:v>
      </x:c>
      <x:c r="C24" s="10" t="n">
        <x:v>0.8</x:v>
      </x:c>
      <x:c r="D24" s="10" t="n">
        <x:f>IF(OR($C$14&lt;&gt;"정상",$C$6+B24&gt;=1),"",$C$6+B24)</x:f>
        <x:v>0.5055555555555555</x:v>
      </x:c>
      <x:c r="E24" s="10" t="n">
        <x:f>IF(OR($C$14&lt;&gt;"정상",$C$6+B24&gt;=1),"",AVERAGE($C$6,D24))</x:f>
        <x:v>0.4805555555555555</x:v>
      </x:c>
      <x:c r="F24" s="11" t="n">
        <x:f>IF(OR($C$14&lt;&gt;"정상",$C$6+B24&gt;=1),"",SQRT(2*E24*(1-E24)))</x:f>
        <x:v>0.7065718839300739</x:v>
      </x:c>
      <x:c r="G24" s="11" t="n">
        <x:f>IF(OR($C$14&lt;&gt;"정상",$C$6+B24&gt;=1),"",SQRT($C$6*(1-$C$6)+D24*(1-D24)))</x:f>
        <x:v>0.7056867769488768</x:v>
      </x:c>
      <x:c r="H24" s="13" t="n">
        <x:f>IF(OR($C$14&lt;&gt;"정상",$C$6+B24&gt;=1),"",CEILING((($G$8*F24+_xlfn.NORM.S.INV(C24)*G24)/B24)^2,2))</x:f>
        <x:v>1568</x:v>
      </x:c>
      <x:c r="I24" s="13" t="n">
        <x:f>IF(OR($C$14&lt;&gt;"정상",$C$6+B24&gt;=1),"",2*H24)</x:f>
        <x:v>3136</x:v>
      </x:c>
      <x:c r="J24" s="2"/>
    </x:row>
    <x:row r="25" ht="25" customHeight="1">
      <x:c r="A25" s="2"/>
      <x:c r="B25" s="10" t="n">
        <x:v>0.02</x:v>
      </x:c>
      <x:c r="C25" s="10" t="n">
        <x:v>0.9</x:v>
      </x:c>
      <x:c r="D25" s="10" t="n">
        <x:f>IF(OR($C$14&lt;&gt;"정상",$C$6+B25&gt;=1),"",$C$6+B25)</x:f>
        <x:v>0.47555555555555556</x:v>
      </x:c>
      <x:c r="E25" s="10" t="n">
        <x:f>IF(OR($C$14&lt;&gt;"정상",$C$6+B25&gt;=1),"",AVERAGE($C$6,D25))</x:f>
        <x:v>0.46555555555555556</x:v>
      </x:c>
      <x:c r="F25" s="11" t="n">
        <x:f>IF(OR($C$14&lt;&gt;"정상",$C$6+B25&gt;=1),"",SQRT(2*E25*(1-E25)))</x:f>
        <x:v>0.7054269349080933</x:v>
      </x:c>
      <x:c r="G25" s="11" t="n">
        <x:f>IF(OR($C$14&lt;&gt;"정상",$C$6+B25&gt;=1),"",SQRT($C$6*(1-$C$6)+D25*(1-D25)))</x:f>
        <x:v>0.7052851625362802</x:v>
      </x:c>
      <x:c r="H25" s="13" t="n">
        <x:f>IF(OR($C$14&lt;&gt;"정상",$C$6+B25&gt;=1),"",CEILING((($G$8*F25+_xlfn.NORM.S.INV(C25)*G25)/B25)^2,2))</x:f>
        <x:v>13070</x:v>
      </x:c>
      <x:c r="I25" s="13" t="n">
        <x:f>IF(OR($C$14&lt;&gt;"정상",$C$6+B25&gt;=1),"",2*H25)</x:f>
        <x:v>26140</x:v>
      </x:c>
      <x:c r="J25" s="2"/>
    </x:row>
    <x:row r="26" ht="25" customHeight="1">
      <x:c r="A26" s="2"/>
      <x:c r="B26" s="10" t="n">
        <x:v>0.03</x:v>
      </x:c>
      <x:c r="C26" s="10" t="n">
        <x:v>0.9</x:v>
      </x:c>
      <x:c r="D26" s="10" t="n">
        <x:f>IF(OR($C$14&lt;&gt;"정상",$C$6+B26&gt;=1),"",$C$6+B26)</x:f>
        <x:v>0.4855555555555555</x:v>
      </x:c>
      <x:c r="E26" s="10" t="n">
        <x:f>IF(OR($C$14&lt;&gt;"정상",$C$6+B26&gt;=1),"",AVERAGE($C$6,D26))</x:f>
        <x:v>0.4705555555555555</x:v>
      </x:c>
      <x:c r="F26" s="11" t="n">
        <x:f>IF(OR($C$14&lt;&gt;"정상",$C$6+B26&gt;=1),"",SQRT(2*E26*(1-E26)))</x:f>
        <x:v>0.7058796281114196</x:v>
      </x:c>
      <x:c r="G26" s="11" t="n">
        <x:f>IF(OR($C$14&lt;&gt;"정상",$C$6+B26&gt;=1),"",SQRT($C$6*(1-$C$6)+D26*(1-D26)))</x:f>
        <x:v>0.7055608048798602</x:v>
      </x:c>
      <x:c r="H26" s="13" t="n">
        <x:f>IF(OR($C$14&lt;&gt;"정상",$C$6+B26&gt;=1),"",CEILING((($G$8*F26+_xlfn.NORM.S.INV(C26)*G26)/B26)^2,2))</x:f>
        <x:v>5816</x:v>
      </x:c>
      <x:c r="I26" s="13" t="n">
        <x:f>IF(OR($C$14&lt;&gt;"정상",$C$6+B26&gt;=1),"",2*H26)</x:f>
        <x:v>11632</x:v>
      </x:c>
      <x:c r="J26" s="2"/>
    </x:row>
    <x:row r="27" ht="25" customHeight="1">
      <x:c r="A27" s="2"/>
      <x:c r="B27" s="10" t="n">
        <x:v>0.05</x:v>
      </x:c>
      <x:c r="C27" s="10" t="n">
        <x:v>0.9</x:v>
      </x:c>
      <x:c r="D27" s="10" t="n">
        <x:f>IF(OR($C$14&lt;&gt;"정상",$C$6+B27&gt;=1),"",$C$6+B27)</x:f>
        <x:v>0.5055555555555555</x:v>
      </x:c>
      <x:c r="E27" s="10" t="n">
        <x:f>IF(OR($C$14&lt;&gt;"정상",$C$6+B27&gt;=1),"",AVERAGE($C$6,D27))</x:f>
        <x:v>0.4805555555555555</x:v>
      </x:c>
      <x:c r="F27" s="11" t="n">
        <x:f>IF(OR($C$14&lt;&gt;"정상",$C$6+B27&gt;=1),"",SQRT(2*E27*(1-E27)))</x:f>
        <x:v>0.7065718839300739</x:v>
      </x:c>
      <x:c r="G27" s="11" t="n">
        <x:f>IF(OR($C$14&lt;&gt;"정상",$C$6+B27&gt;=1),"",SQRT($C$6*(1-$C$6)+D27*(1-D27)))</x:f>
        <x:v>0.7056867769488768</x:v>
      </x:c>
      <x:c r="H27" s="13" t="n">
        <x:f>IF(OR($C$14&lt;&gt;"정상",$C$6+B27&gt;=1),"",CEILING((($G$8*F27+_xlfn.NORM.S.INV(C27)*G27)/B27)^2,2))</x:f>
        <x:v>2098</x:v>
      </x:c>
      <x:c r="I27" s="13" t="n">
        <x:f>IF(OR($C$14&lt;&gt;"정상",$C$6+B27&gt;=1),"",2*H27)</x:f>
        <x:v>4196</x:v>
      </x:c>
      <x:c r="J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8" customHeight="1">
      <x:c r="A30" s="2"/>
      <x:c r="B30" s="16" t="str">
        <x:v>신규 자격/일 가정</x:v>
      </x:c>
      <x:c r="C30" s="16" t="str">
        <x:v>필요 모집일</x:v>
      </x:c>
      <x:c r="D30" s="16" t="str">
        <x:v>상한 내 가능</x:v>
      </x:c>
      <x:c r="E30" s="16" t="str">
        <x:v>상한 적용일</x:v>
      </x:c>
      <x:c r="F30" s="16" t="str">
        <x:v>결과 확인일</x:v>
      </x:c>
      <x:c r="G30" s="16" t="str">
        <x:v>기간 성격</x:v>
      </x:c>
      <x:c r="H30" s="2"/>
      <x:c r="I30" s="2"/>
      <x:c r="J30" s="2"/>
    </x:row>
    <x:row r="31" ht="25" customHeight="1">
      <x:c r="A31" s="2"/>
      <x:c r="B31" s="13" t="n">
        <x:v>100</x:v>
      </x:c>
      <x:c r="C31" s="13" t="n">
        <x:f>IF($C$14&lt;&gt;"정상","",MAX($C$11,ROUNDUP($C$4/B31,0)))</x:f>
        <x:v>87</x:v>
      </x:c>
      <x:c r="D31" s="20" t="str">
        <x:f>IF($C$14&lt;&gt;"정상","",IF(C31&lt;=$C$13,"가능 가정","표본 미달"))</x:f>
        <x:v>표본 미달</x:v>
      </x:c>
      <x:c r="E31" s="13" t="n">
        <x:f>IF($C$14&lt;&gt;"정상","",MIN(C31,$C$13))</x:f>
        <x:v>28</x:v>
      </x:c>
      <x:c r="F31" s="13" t="n">
        <x:f>IF($C$14&lt;&gt;"정상","",SUM(E31,2,$C$12))</x:f>
        <x:v>32</x:v>
      </x:c>
      <x:c r="G31" s="20" t="str">
        <x:v>가정, 실제 일정 아님</x:v>
      </x:c>
      <x:c r="H31" s="2"/>
      <x:c r="I31" s="2"/>
      <x:c r="J31" s="2"/>
    </x:row>
    <x:row r="32" ht="25" customHeight="1">
      <x:c r="A32" s="2"/>
      <x:c r="B32" s="13" t="n">
        <x:v>500</x:v>
      </x:c>
      <x:c r="C32" s="13" t="n">
        <x:f>IF($C$14&lt;&gt;"정상","",MAX($C$11,ROUNDUP($C$4/B32,0)))</x:f>
        <x:v>18</x:v>
      </x:c>
      <x:c r="D32" s="20" t="str">
        <x:f>IF($C$14&lt;&gt;"정상","",IF(C32&lt;=$C$13,"가능 가정","표본 미달"))</x:f>
        <x:v>가능 가정</x:v>
      </x:c>
      <x:c r="E32" s="13" t="n">
        <x:f>IF($C$14&lt;&gt;"정상","",MIN(C32,$C$13))</x:f>
        <x:v>18</x:v>
      </x:c>
      <x:c r="F32" s="13" t="n">
        <x:f>IF($C$14&lt;&gt;"정상","",SUM(E32,2,$C$12))</x:f>
        <x:v>22</x:v>
      </x:c>
      <x:c r="G32" s="20" t="str">
        <x:v>가정, 실제 일정 아님</x:v>
      </x:c>
      <x:c r="H32" s="2"/>
      <x:c r="I32" s="2"/>
      <x:c r="J32" s="2"/>
    </x:row>
    <x:row r="33" ht="25" customHeight="1">
      <x:c r="A33" s="2"/>
      <x:c r="B33" s="13" t="n">
        <x:v>1000</x:v>
      </x:c>
      <x:c r="C33" s="13" t="n">
        <x:f>IF($C$14&lt;&gt;"정상","",MAX($C$11,ROUNDUP($C$4/B33,0)))</x:f>
        <x:v>14</x:v>
      </x:c>
      <x:c r="D33" s="20" t="str">
        <x:f>IF($C$14&lt;&gt;"정상","",IF(C33&lt;=$C$13,"가능 가정","표본 미달"))</x:f>
        <x:v>가능 가정</x:v>
      </x:c>
      <x:c r="E33" s="13" t="n">
        <x:f>IF($C$14&lt;&gt;"정상","",MIN(C33,$C$13))</x:f>
        <x:v>14</x:v>
      </x:c>
      <x:c r="F33" s="13" t="n">
        <x:f>IF($C$14&lt;&gt;"정상","",SUM(E33,2,$C$12))</x:f>
        <x:v>18</x:v>
      </x:c>
      <x:c r="G33" s="20" t="str">
        <x:v>가정, 실제 일정 아님</x:v>
      </x:c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 t="str">
        <x:v>기준률 45.6%: 3/8·9 재개, 비활동 1~2일의 조건부 기록 비율. 실제 대상에서 재산출 필수.</x:v>
      </x:c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 t="str">
        <x:v>방법: 통합 영가설 분산·군별 대립가설 분산 정규근사. 전체 무작위 블록 4명에 맞춘 올림.</x:v>
      </x:c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 t="str">
        <x:v>자료: https://www.statsmodels.org/stable/generated/statsmodels.stats.proportion.power_proportions_2indep.html</x:v>
      </x:c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 t="str">
        <x:v>모집 최소 14일·최대 28일·수집 지연 대기 2일은 작성 가정. 실제 신규 자격 규모·개시일은 미확인.</x:v>
      </x:c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 t="str">
        <x:v>역사적 4,809명은 새 실험의 대조·안내 데이터가 아니다. 실제 모집단 규모와 기록 연결이 필요하다.</x:v>
      </x:c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 t="str">
        <x:v>유입량 가정은 주후보 A1의 새 고유 사용자 수다. 전체 방문자나 기존 대상 누적 수를 쓰지 않는다.</x:v>
      </x:c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</x:sheetData>
  <x:dataValidations count="4">
    <x:dataValidation type="decimal" operator="between" sqref="C6:C9">
      <x:formula1>0.0001</x:formula1>
      <x:formula2>0.9999</x:formula2>
    </x:dataValidation>
    <x:dataValidation type="whole" operator="greaterThan" sqref="C10:C11">
      <x:formula1>0</x:formula1>
    </x:dataValidation>
    <x:dataValidation type="whole" operator="greaterThanOrEqual" sqref="C12">
      <x:formula1>0</x:formula1>
    </x:dataValidation>
    <x:dataValidation type="whole" operator="greaterThan" sqref="C13">
      <x:formula1>0</x:formula1>
    </x:dataValidation>
  </x:dataValidations>
  <x:pageMargins left="0.7" right="0.7" top="0.75" bottom="0.75" header="0.3" footer="0.3"/>
</x:worksheet>
</file>