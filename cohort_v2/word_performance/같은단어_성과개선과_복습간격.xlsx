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7777c24ec742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같은 단어 개선과 재학습" sheetId="1" r:id="Rd3226543316343c9"/>
    <x:sheet xmlns:r="http://schemas.openxmlformats.org/officeDocument/2006/relationships" name="단어 간격과 정답률" sheetId="2" r:id="R7000eb01adf9407a"/>
    <x:sheet xmlns:r="http://schemas.openxmlformats.org/officeDocument/2006/relationships" name="대상과 정의" sheetId="3" r:id="R132844eab6b043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"/>
    <x:numFmt numFmtId="202" formatCode="0.00E+00"/>
    <x:numFmt numFmtId="203" formatCode="0.0%"/>
  </x:numFmts>
  <x:fonts count="4">
    <x:font>
      <x:sz val="11"/>
      <x:name val="Carlito"/>
    </x:font>
    <x:font>
      <x:sz val="10"/>
      <x:color rgb="FF24364B"/>
      <x:name val="Malgun Gothic"/>
    </x:font>
    <x:font>
      <x:b/>
      <x:sz val="15"/>
      <x:color rgb="FF334B68"/>
      <x:name val="Malgun Gothic"/>
    </x:font>
    <x:font>
      <x:b/>
      <x:sz val="10"/>
      <x:color rgb="FFFFFFFF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334B68"/>
      </x:patternFill>
    </x:fill>
    <x:fill>
      <x:patternFill patternType="solid">
        <x:fgColor rgb="FFEDF2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CD6E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5c95ccad04486c" /><Relationship Type="http://schemas.openxmlformats.org/officeDocument/2006/relationships/theme" Target="/xl/theme/theme1.xml" Id="R00f8eee448d74413" /><Relationship Type="http://schemas.openxmlformats.org/officeDocument/2006/relationships/sharedStrings" Target="/xl/sharedStrings.xml" Id="Rfbf30cde709a451b" /><Relationship Type="http://schemas.openxmlformats.org/officeDocument/2006/relationships/worksheet" Target="/xl/worksheets/sheet1.xml" Id="Rd3226543316343c9" /><Relationship Type="http://schemas.openxmlformats.org/officeDocument/2006/relationships/worksheet" Target="/xl/worksheets/sheet2.xml" Id="R7000eb01adf9407a" /><Relationship Type="http://schemas.openxmlformats.org/officeDocument/2006/relationships/worksheet" Target="/xl/worksheets/sheet3.xml" Id="R132844eab6b043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34B68"/>
  </x:sheetPr>
  <x:sheetViews>
    <x:sheetView showGridLines="0" workbookViewId="0"/>
  </x:sheetViews>
  <x:sheetFormatPr defaultRowHeight="15"/>
  <x:cols>
    <x:col min="1" max="1" width="3" hidden="0" customWidth="1"/>
    <x:col min="2" max="2" width="4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3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6" customHeight="1">
      <x:c r="A2" s="2"/>
      <x:c r="B2" s="4" t="str">
        <x:v>같은 단어 성과 개선과 이후 재학습</x:v>
      </x:c>
      <x:c r="C2" s="3"/>
      <x:c r="D2" s="3"/>
      <x:c r="E2" s="3"/>
      <x:c r="F2" s="3"/>
      <x:c r="G2" s="3"/>
      <x:c r="H2" s="3"/>
      <x:c r="I2" s="3"/>
      <x:c r="J2" s="2"/>
    </x:row>
    <x:row r="3" ht="26" customHeight="1">
      <x:c r="A3" s="2"/>
      <x:c r="B3" s="2" t="str">
        <x:v>기준 2013.03.01~07 UTC / 결과 03.08~11 UTC / 분석 2026.10.13</x:v>
      </x:c>
      <x:c r="C3" s="2"/>
      <x:c r="D3" s="2"/>
      <x:c r="E3" s="2"/>
      <x:c r="F3" s="2"/>
      <x:c r="G3" s="2"/>
      <x:c r="H3" s="2"/>
      <x:c r="I3" s="2"/>
      <x:c r="J3" s="2"/>
    </x:row>
    <x:row r="4" ht="26" customHeight="1">
      <x:c r="A4" s="2"/>
      <x:c r="B4" s="2" t="str">
        <x:v>개선율: 같은 단어 첫·마지막 날짜 정답률 차이를 마지막 날짜 노출 수로 가중. 대상 단어 5개 이상.</x:v>
      </x:c>
      <x:c r="C4" s="2"/>
      <x:c r="D4" s="2"/>
      <x:c r="E4" s="2"/>
      <x:c r="F4" s="2"/>
      <x:c r="G4" s="2"/>
      <x:c r="H4" s="2"/>
      <x:c r="I4" s="2"/>
      <x:c r="J4" s="2"/>
    </x:row>
    <x:row r="5" ht="26" customHeight="1">
      <x:c r="A5" s="2"/>
      <x:c r="B5" s="2" t="str">
        <x:v>OR은 개선율 +10%p당. 초기 수준·활동량·최근성·관측 기회 등을 보정한 탐색적 연관성.</x:v>
      </x:c>
      <x:c r="C5" s="2"/>
      <x:c r="D5" s="2"/>
      <x:c r="E5" s="2"/>
      <x:c r="F5" s="2"/>
      <x:c r="G5" s="2"/>
      <x:c r="H5" s="2"/>
      <x:c r="I5" s="2"/>
      <x:c r="J5" s="2"/>
    </x:row>
    <x:row r="6" ht="26" customHeight="1">
      <x:c r="A6" s="2"/>
      <x:c r="B6" s="2" t="str">
        <x:v>반복학습 = 추적 4일 중 2일 이상, 재학습 = 1일 이상. 개별 95% 구간, 주요 효과 6개 Holm 보정.</x:v>
      </x:c>
      <x:c r="C6" s="2"/>
      <x:c r="D6" s="2"/>
      <x:c r="E6" s="2"/>
      <x:c r="F6" s="2"/>
      <x:c r="G6" s="2"/>
      <x:c r="H6" s="2"/>
      <x:c r="I6" s="2"/>
      <x:c r="J6" s="2"/>
    </x:row>
    <x:row r="7" ht="26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0" customHeight="1">
      <x:c r="A8" s="2"/>
      <x:c r="B8" s="7" t="str">
        <x:v>보정 모형</x:v>
      </x:c>
      <x:c r="C8" s="7" t="str">
        <x:v>사용자</x:v>
      </x:c>
      <x:c r="D8" s="7" t="str">
        <x:v>결과 해당 인원</x:v>
      </x:c>
      <x:c r="E8" s="7" t="str">
        <x:v>오즈비 OR</x:v>
      </x:c>
      <x:c r="F8" s="7" t="str">
        <x:v>95% 하한</x:v>
      </x:c>
      <x:c r="G8" s="7" t="str">
        <x:v>95% 상한</x:v>
      </x:c>
      <x:c r="H8" s="7" t="str">
        <x:v>Holm p</x:v>
      </x:c>
      <x:c r="I8" s="2"/>
      <x:c r="J8" s="2"/>
    </x:row>
    <x:row r="9" ht="26" customHeight="1">
      <x:c r="A9" s="2"/>
      <x:c r="B9" s="11" t="str">
        <x:v>습관 형성형 · 5단어 · 반복학습</x:v>
      </x:c>
      <x:c r="C9" s="12" t="n">
        <x:v>8354</x:v>
      </x:c>
      <x:c r="D9" s="12" t="n">
        <x:v>2276</x:v>
      </x:c>
      <x:c r="E9" s="13" t="n">
        <x:v>1.0203195123286979</x:v>
      </x:c>
      <x:c r="F9" s="13" t="n">
        <x:v>0.9581346486218386</x:v>
      </x:c>
      <x:c r="G9" s="13" t="n">
        <x:v>1.0865402986272334</x:v>
      </x:c>
      <x:c r="H9" s="14" t="n">
        <x:v>1</x:v>
      </x:c>
      <x:c r="I9" s="2"/>
      <x:c r="J9" s="2"/>
    </x:row>
    <x:row r="10" ht="26" customHeight="1">
      <x:c r="A10" s="2"/>
      <x:c r="B10" s="2" t="str">
        <x:v>전체 · 5단어 · 반복학습</x:v>
      </x:c>
      <x:c r="C10" s="8" t="n">
        <x:v>23022</x:v>
      </x:c>
      <x:c r="D10" s="8" t="n">
        <x:v>8032</x:v>
      </x:c>
      <x:c r="E10" s="9" t="n">
        <x:v>1.030492505293209</x:v>
      </x:c>
      <x:c r="F10" s="9" t="n">
        <x:v>0.9894695662110621</x:v>
      </x:c>
      <x:c r="G10" s="9" t="n">
        <x:v>1.0732162359796715</x:v>
      </x:c>
      <x:c r="H10" s="10" t="n">
        <x:v>0.5891237545843501</x:v>
      </x:c>
      <x:c r="I10" s="2"/>
      <x:c r="J10" s="2"/>
    </x:row>
    <x:row r="11" ht="26" customHeight="1">
      <x:c r="A11" s="2"/>
      <x:c r="B11" s="2" t="str">
        <x:v>습관 형성형 · 10단어 · 반복학습</x:v>
      </x:c>
      <x:c r="C11" s="8" t="n">
        <x:v>5881</x:v>
      </x:c>
      <x:c r="D11" s="8" t="n">
        <x:v>1650</x:v>
      </x:c>
      <x:c r="E11" s="9" t="n">
        <x:v>1.0244296637922223</x:v>
      </x:c>
      <x:c r="F11" s="9" t="n">
        <x:v>0.9407463255631378</x:v>
      </x:c>
      <x:c r="G11" s="9" t="n">
        <x:v>1.1155569865545136</x:v>
      </x:c>
      <x:c r="H11" s="10" t="n">
        <x:v>1</x:v>
      </x:c>
      <x:c r="I11" s="2"/>
      <x:c r="J11" s="2"/>
    </x:row>
    <x:row r="12" ht="26" customHeight="1">
      <x:c r="A12" s="2"/>
      <x:c r="B12" s="2" t="str">
        <x:v>습관 형성형 · 5단어 · 재학습</x:v>
      </x:c>
      <x:c r="C12" s="8" t="n">
        <x:v>8354</x:v>
      </x:c>
      <x:c r="D12" s="8" t="n">
        <x:v>4672</x:v>
      </x:c>
      <x:c r="E12" s="9" t="n">
        <x:v>1.0528338311789798</x:v>
      </x:c>
      <x:c r="F12" s="9" t="n">
        <x:v>0.9971862908435146</x:v>
      </x:c>
      <x:c r="G12" s="9" t="n">
        <x:v>1.1115867579139789</x:v>
      </x:c>
      <x:c r="H12" s="10" t="n">
        <x:v>0.3156565980955688</x:v>
      </x:c>
      <x:c r="I12" s="2"/>
      <x:c r="J12" s="2"/>
    </x:row>
    <x:row r="13" ht="26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6" customHeight="1">
      <x:c r="A14" s="2"/>
      <x:c r="B14" s="2" t="str">
        <x:v>같은 단어를 맞춰 콘텐츠 구성을 제한했지만 동기·난도·선택 편향까지 제거한 인과 분석은 아님.</x:v>
      </x:c>
      <x:c r="C14" s="2"/>
      <x:c r="D14" s="2"/>
      <x:c r="E14" s="2"/>
      <x:c r="F14" s="2"/>
      <x:c r="G14" s="2"/>
      <x:c r="H14" s="2"/>
      <x:c r="I14" s="2"/>
      <x:c r="J14" s="2"/>
    </x:row>
    <x:row r="15" ht="26" customHeight="1">
      <x:c r="A15" s="2"/>
      <x:c r="B15" s="2" t="str">
        <x:v>최초 시각의 과거 이력이 불명확하면 개선율은 보존하고 사용자 보정 모형에서 제외.</x:v>
      </x:c>
      <x:c r="C15" s="2"/>
      <x:c r="D15" s="2"/>
      <x:c r="E15" s="2"/>
      <x:c r="F15" s="2"/>
      <x:c r="G15" s="2"/>
      <x:c r="H15" s="2"/>
      <x:c r="I15" s="2"/>
      <x:c r="J15" s="2"/>
    </x:row>
    <x:row r="16" ht="26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6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30" customHeight="1">
      <x:c r="A18" s="2"/>
      <x:c r="B18" s="7" t="str">
        <x:v>습관 형성형 · 개선 사분위</x:v>
      </x:c>
      <x:c r="C18" s="7" t="str">
        <x:v>사용자</x:v>
      </x:c>
      <x:c r="D18" s="7" t="str">
        <x:v>반복학습 인원</x:v>
      </x:c>
      <x:c r="E18" s="7" t="str">
        <x:v>반복학습률</x:v>
      </x:c>
      <x:c r="F18" s="7" t="str">
        <x:v>초기 평균</x:v>
      </x:c>
      <x:c r="G18" s="7" t="str">
        <x:v>마지막 평균</x:v>
      </x:c>
      <x:c r="H18" s="7" t="str">
        <x:v>단어 수 중앙값</x:v>
      </x:c>
      <x:c r="I18" s="2"/>
      <x:c r="J18" s="2"/>
    </x:row>
    <x:row r="19" ht="26" customHeight="1">
      <x:c r="A19" s="2"/>
      <x:c r="B19" s="2" t="str">
        <x:v>Q1 낮은 개선</x:v>
      </x:c>
      <x:c r="C19" s="8" t="n">
        <x:v>2089</x:v>
      </x:c>
      <x:c r="D19" s="8" t="n">
        <x:v>557</x:v>
      </x:c>
      <x:c r="E19" s="15" t="n">
        <x:f>D19/C19</x:f>
        <x:v>0.2666347534705601</x:v>
      </x:c>
      <x:c r="F19" s="15" t="n">
        <x:v>0.9401830701740889</x:v>
      </x:c>
      <x:c r="G19" s="15" t="n">
        <x:v>0.8309614743925106</x:v>
      </x:c>
      <x:c r="H19" s="8" t="n">
        <x:v>14</x:v>
      </x:c>
      <x:c r="I19" s="2"/>
      <x:c r="J19" s="2"/>
    </x:row>
    <x:row r="20" ht="26" customHeight="1">
      <x:c r="A20" s="2"/>
      <x:c r="B20" s="2" t="str">
        <x:v>Q2</x:v>
      </x:c>
      <x:c r="C20" s="8" t="n">
        <x:v>2088</x:v>
      </x:c>
      <x:c r="D20" s="8" t="n">
        <x:v>575</x:v>
      </x:c>
      <x:c r="E20" s="15" t="n">
        <x:f>D20/C20</x:f>
        <x:v>0.2753831417624521</x:v>
      </x:c>
      <x:c r="F20" s="15" t="n">
        <x:v>0.9278444508527767</x:v>
      </x:c>
      <x:c r="G20" s="15" t="n">
        <x:v>0.9194220919098082</x:v>
      </x:c>
      <x:c r="H20" s="8" t="n">
        <x:v>18</x:v>
      </x:c>
      <x:c r="I20" s="2"/>
      <x:c r="J20" s="2"/>
    </x:row>
    <x:row r="21" ht="26" customHeight="1">
      <x:c r="A21" s="2"/>
      <x:c r="B21" s="2" t="str">
        <x:v>Q3</x:v>
      </x:c>
      <x:c r="C21" s="8" t="n">
        <x:v>2096</x:v>
      </x:c>
      <x:c r="D21" s="8" t="n">
        <x:v>570</x:v>
      </x:c>
      <x:c r="E21" s="15" t="n">
        <x:f>D21/C21</x:f>
        <x:v>0.2719465648854962</x:v>
      </x:c>
      <x:c r="F21" s="15" t="n">
        <x:v>0.8852396090799555</x:v>
      </x:c>
      <x:c r="G21" s="15" t="n">
        <x:v>0.9284015038364436</x:v>
      </x:c>
      <x:c r="H21" s="8" t="n">
        <x:v>19</x:v>
      </x:c>
      <x:c r="I21" s="2"/>
      <x:c r="J21" s="2"/>
    </x:row>
    <x:row r="22" ht="26" customHeight="1">
      <x:c r="A22" s="2"/>
      <x:c r="B22" s="2" t="str">
        <x:v>Q4 높은 개선</x:v>
      </x:c>
      <x:c r="C22" s="8" t="n">
        <x:v>2081</x:v>
      </x:c>
      <x:c r="D22" s="8" t="n">
        <x:v>574</x:v>
      </x:c>
      <x:c r="E22" s="15" t="n">
        <x:f>D22/C22</x:f>
        <x:v>0.27582892839980777</x:v>
      </x:c>
      <x:c r="F22" s="15" t="n">
        <x:v>0.7621149352101858</x:v>
      </x:c>
      <x:c r="G22" s="15" t="n">
        <x:v>0.92982934250205</x:v>
      </x:c>
      <x:c r="H22" s="8" t="n">
        <x:v>14</x:v>
      </x:c>
      <x:c r="I22" s="2"/>
      <x:c r="J22" s="2"/>
    </x:row>
    <x:row r="23" ht="26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6" customHeight="1">
      <x:c r="A24" s="2"/>
      <x:c r="B24" s="2" t="str">
        <x:v>사분위 표는 미보정 관측률. 초기 수준과 노출 구성이 다르므로 회귀 결과와 구분.</x:v>
      </x:c>
      <x:c r="C24" s="2"/>
      <x:c r="D24" s="2"/>
      <x:c r="E24" s="2"/>
      <x:c r="F24" s="2"/>
      <x:c r="G24" s="2"/>
      <x:c r="H24" s="2"/>
      <x:c r="I24" s="2"/>
      <x:c r="J24" s="2"/>
    </x:row>
    <x:row r="25" ht="26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6" customHeight="1">
      <x:c r="A26" s="2"/>
      <x:c r="B26" s="2" t="str">
        <x:v>초기 과거 정답률: 단어별 기준 주간 최초 관측 직전 history 비율을 첫 날짜 노출 수로 가중.</x:v>
      </x:c>
      <x:c r="C26" s="2"/>
      <x:c r="D26" s="2"/>
      <x:c r="E26" s="2"/>
      <x:c r="F26" s="2"/>
      <x:c r="G26" s="2"/>
      <x:c r="H26" s="2"/>
      <x:c r="I26" s="2"/>
      <x:c r="J26" s="2"/>
    </x:row>
    <x:row r="27" ht="26" customHeight="1">
      <x:c r="A27" s="2"/>
      <x:c r="B27" s="2" t="str">
        <x:v>보정: 초기 정답률·제곱, 초기 과거 정답률, 활동일·최근성, 노출·세션·단어 수, 최초 날짜·관측 간격.</x:v>
      </x:c>
      <x:c r="C27" s="2"/>
      <x:c r="D27" s="2"/>
      <x:c r="E27" s="2"/>
      <x:c r="F27" s="2"/>
      <x:c r="G27" s="2"/>
      <x:c r="H27" s="2"/>
      <x:c r="I27" s="2"/>
      <x:c r="J27" s="2"/>
    </x:row>
    <x:row r="28" ht="26" customHeight="1">
      <x:c r="A28" s="2"/>
      <x:c r="B28" s="2" t="str">
        <x:v>기존 3/1~3 대 3/5~7 전체 정답률 변화와 다른 지표. 서로 다른 표본의 OR로 우열을 판단하지 않음.</x:v>
      </x:c>
      <x:c r="C28" s="2"/>
      <x:c r="D28" s="2"/>
      <x:c r="E28" s="2"/>
      <x:c r="F28" s="2"/>
      <x:c r="G28" s="2"/>
      <x:c r="H28" s="2"/>
      <x:c r="I28" s="2"/>
      <x:c r="J28" s="2"/>
    </x:row>
    <x:row r="29" ht="26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6" customHeight="1">
      <x:c r="A30" s="2"/>
      <x:c r="B30" s="2" t="str">
        <x:v>원천: 원본 학습 추적 CSV, v3 사용자 코호트, docs/03_지표_정의서.md. 결과 JSON에 해시 기록.</x:v>
      </x:c>
      <x:c r="C30" s="2"/>
      <x:c r="D30" s="2"/>
      <x:c r="E30" s="2"/>
      <x:c r="F30" s="2"/>
      <x:c r="G30" s="2"/>
      <x:c r="H30" s="2"/>
      <x:c r="I30" s="2"/>
      <x:c r="J30" s="2"/>
    </x:row>
    <x:row r="31" ht="26" customHeight="1">
      <x:c r="A31" s="2"/>
      <x:c r="B31" s="2" t="str">
        <x:v>모형은 Python 결과 스냅샷. 재실행: analyze_word_performance.py → 검증 → 이 엑셀 생성 코드.</x:v>
      </x:c>
      <x:c r="C31" s="2"/>
      <x:c r="D31" s="2"/>
      <x:c r="E31" s="2"/>
      <x:c r="F31" s="2"/>
      <x:c r="G31" s="2"/>
      <x:c r="H31" s="2"/>
      <x:c r="I31" s="2"/>
      <x:c r="J31" s="2"/>
    </x:row>
    <x:row r="32" ht="26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6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6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6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6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6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26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 ht="26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 ht="26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26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3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6" customHeight="1">
      <x:c r="A2" s="2"/>
      <x:c r="B2" s="4" t="str">
        <x:v>같은 사용자·단어의 복습 간격과 정답률</x:v>
      </x:c>
      <x:c r="C2" s="3"/>
      <x:c r="D2" s="3"/>
      <x:c r="E2" s="3"/>
      <x:c r="F2" s="3"/>
      <x:c r="G2" s="3"/>
      <x:c r="H2" s="3"/>
      <x:c r="I2" s="3"/>
      <x:c r="J2" s="2"/>
    </x:row>
    <x:row r="3" ht="26" customHeight="1">
      <x:c r="A3" s="2"/>
      <x:c r="B3" s="2" t="str">
        <x:v>delta ≥ 60초인 기록만 사용. 서로 다른 첫·마지막 복습 날짜의 정답률과 간격 변화를 짝 비교.</x:v>
      </x:c>
      <x:c r="C3" s="2"/>
      <x:c r="D3" s="2"/>
      <x:c r="E3" s="2"/>
      <x:c r="F3" s="2"/>
      <x:c r="G3" s="2"/>
      <x:c r="H3" s="2"/>
      <x:c r="I3" s="2"/>
      <x:c r="J3" s="2"/>
    </x:row>
    <x:row r="4" ht="26" customHeight="1">
      <x:c r="A4" s="2"/>
      <x:c r="B4" s="2" t="str">
        <x:v>노출 가중 기하평균 간격의 마지막/첫 날짜 비율이 2배일 때 정답률 차이의 변화(%p).</x:v>
      </x:c>
      <x:c r="C4" s="2"/>
      <x:c r="D4" s="2"/>
      <x:c r="E4" s="2"/>
      <x:c r="F4" s="2"/>
      <x:c r="G4" s="2"/>
      <x:c r="H4" s="2"/>
      <x:c r="I4" s="2"/>
      <x:c r="J4" s="2"/>
    </x:row>
    <x:row r="5" ht="26" customHeight="1">
      <x:c r="A5" s="2"/>
      <x:c r="B5" s="2" t="str">
        <x:v>초기 수준·초기 간격·누적 노출 변화·날짜를 보정. 사용자 군집 표준오차로 반복 기록 종속성 반영.</x:v>
      </x:c>
      <x:c r="C5" s="2"/>
      <x:c r="D5" s="2"/>
      <x:c r="E5" s="2"/>
      <x:c r="F5" s="2"/>
      <x:c r="G5" s="2"/>
      <x:c r="H5" s="2"/>
      <x:c r="I5" s="2"/>
      <x:c r="J5" s="2"/>
    </x:row>
    <x:row r="6" ht="26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30" customHeight="1">
      <x:c r="A7" s="2"/>
      <x:c r="B7" s="7" t="str">
        <x:v>가중 방식</x:v>
      </x:c>
      <x:c r="C7" s="7" t="str">
        <x:v>사용자</x:v>
      </x:c>
      <x:c r="D7" s="7" t="str">
        <x:v>단어 쌍</x:v>
      </x:c>
      <x:c r="E7" s="7" t="str">
        <x:v>계수 %p</x:v>
      </x:c>
      <x:c r="F7" s="7" t="str">
        <x:v>95% 하한</x:v>
      </x:c>
      <x:c r="G7" s="7" t="str">
        <x:v>95% 상한</x:v>
      </x:c>
      <x:c r="H7" s="7" t="str">
        <x:v>Holm p</x:v>
      </x:c>
      <x:c r="I7" s="2"/>
      <x:c r="J7" s="2"/>
    </x:row>
    <x:row r="8" ht="26" customHeight="1">
      <x:c r="A8" s="2"/>
      <x:c r="B8" s="2" t="str">
        <x:v>마지막 복습 날짜 노출 가중</x:v>
      </x:c>
      <x:c r="C8" s="8" t="n">
        <x:v>23019</x:v>
      </x:c>
      <x:c r="D8" s="8" t="n">
        <x:v>745195</x:v>
      </x:c>
      <x:c r="E8" s="9" t="n">
        <x:v>0.08807528057495859</x:v>
      </x:c>
      <x:c r="F8" s="9" t="n">
        <x:v>0.042492816747827414</x:v>
      </x:c>
      <x:c r="G8" s="9" t="n">
        <x:v>0.13365774440208977</x:v>
      </x:c>
      <x:c r="H8" s="10" t="n">
        <x:v>0.0009145729915207871</x:v>
      </x:c>
      <x:c r="I8" s="2"/>
      <x:c r="J8" s="2"/>
    </x:row>
    <x:row r="9" ht="26" customHeight="1">
      <x:c r="A9" s="2"/>
      <x:c r="B9" s="2" t="str">
        <x:v>단어 쌍 동일 가중</x:v>
      </x:c>
      <x:c r="C9" s="8" t="n">
        <x:v>23019</x:v>
      </x:c>
      <x:c r="D9" s="8" t="n">
        <x:v>745195</x:v>
      </x:c>
      <x:c r="E9" s="9" t="n">
        <x:v>0.006612576386629238</x:v>
      </x:c>
      <x:c r="F9" s="9" t="n">
        <x:v>-0.02906992239913753</x:v>
      </x:c>
      <x:c r="G9" s="9" t="n">
        <x:v>0.042295075172396</x:v>
      </x:c>
      <x:c r="H9" s="10" t="n">
        <x:v>1</x:v>
      </x:c>
      <x:c r="I9" s="2"/>
      <x:c r="J9" s="2"/>
    </x:row>
    <x:row r="10" ht="26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 ht="26" customHeight="1">
      <x:c r="A11" s="2"/>
      <x:c r="B11" s="2" t="str">
        <x:v>동일 사용자·단어의 변화 관계다. 최적 복습 간격, 장기 기억 또는 간격 조절의 인과 효과가 아님.</x:v>
      </x:c>
      <x:c r="C11" s="2"/>
      <x:c r="D11" s="2"/>
      <x:c r="E11" s="2"/>
      <x:c r="F11" s="2"/>
      <x:c r="G11" s="2"/>
      <x:c r="H11" s="2"/>
      <x:c r="I11" s="2"/>
      <x:c r="J11" s="2"/>
    </x:row>
    <x:row r="12" ht="26" customHeight="1">
      <x:c r="A12" s="2"/>
      <x:c r="B12" s="2" t="str">
        <x:v>직접 간격 모형의 표본은 첫 시각 이력이 명확한 복습 단어 쌍 5개 이상 사용자.</x:v>
      </x:c>
      <x:c r="C12" s="2"/>
      <x:c r="D12" s="2"/>
      <x:c r="E12" s="2"/>
      <x:c r="F12" s="2"/>
      <x:c r="G12" s="2"/>
      <x:c r="H12" s="2"/>
      <x:c r="I12" s="2"/>
      <x:c r="J12" s="2"/>
    </x:row>
    <x:row r="13" ht="26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6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30" customHeight="1">
      <x:c r="A15" s="2"/>
      <x:c r="B15" s="7" t="str">
        <x:v>기술 통계 · 복습 간격</x:v>
      </x:c>
      <x:c r="C15" s="7" t="str">
        <x:v>기록 수</x:v>
      </x:c>
      <x:c r="D15" s="7" t="str">
        <x:v>사용자</x:v>
      </x:c>
      <x:c r="E15" s="7" t="str">
        <x:v>노출 수</x:v>
      </x:c>
      <x:c r="F15" s="7" t="str">
        <x:v>정답 수</x:v>
      </x:c>
      <x:c r="G15" s="7" t="str">
        <x:v>정답률</x:v>
      </x:c>
      <x:c r="H15" s="2"/>
      <x:c r="I15" s="2"/>
      <x:c r="J15" s="2"/>
    </x:row>
    <x:row r="16" ht="26" customHeight="1">
      <x:c r="A16" s="2"/>
      <x:c r="B16" s="2" t="str">
        <x:v>1분~1시간 미만</x:v>
      </x:c>
      <x:c r="C16" s="8" t="n">
        <x:v>3005790</x:v>
      </x:c>
      <x:c r="D16" s="8" t="n">
        <x:v>49812</x:v>
      </x:c>
      <x:c r="E16" s="8" t="n">
        <x:v>5420208</x:v>
      </x:c>
      <x:c r="F16" s="8" t="n">
        <x:v>4973481</x:v>
      </x:c>
      <x:c r="G16" s="15" t="n">
        <x:f>F16/E16</x:f>
        <x:v>0.917581207215664</x:v>
      </x:c>
      <x:c r="H16" s="2"/>
      <x:c r="I16" s="2"/>
      <x:c r="J16" s="2"/>
    </x:row>
    <x:row r="17" ht="26" customHeight="1">
      <x:c r="A17" s="2"/>
      <x:c r="B17" s="2" t="str">
        <x:v>1시간~1일 미만</x:v>
      </x:c>
      <x:c r="C17" s="8" t="n">
        <x:v>1117783</x:v>
      </x:c>
      <x:c r="D17" s="8" t="n">
        <x:v>32595</x:v>
      </x:c>
      <x:c r="E17" s="8" t="n">
        <x:v>2030597</x:v>
      </x:c>
      <x:c r="F17" s="8" t="n">
        <x:v>1832830</x:v>
      </x:c>
      <x:c r="G17" s="15" t="n">
        <x:f>F17/E17</x:f>
        <x:v>0.90260647484459</x:v>
      </x:c>
      <x:c r="H17" s="2"/>
      <x:c r="I17" s="2"/>
      <x:c r="J17" s="2"/>
    </x:row>
    <x:row r="18" ht="26" customHeight="1">
      <x:c r="A18" s="2"/>
      <x:c r="B18" s="2" t="str">
        <x:v>1~3일 미만</x:v>
      </x:c>
      <x:c r="C18" s="8" t="n">
        <x:v>1118675</x:v>
      </x:c>
      <x:c r="D18" s="8" t="n">
        <x:v>34430</x:v>
      </x:c>
      <x:c r="E18" s="8" t="n">
        <x:v>2071636</x:v>
      </x:c>
      <x:c r="F18" s="8" t="n">
        <x:v>1866562</x:v>
      </x:c>
      <x:c r="G18" s="15" t="n">
        <x:f>F18/E18</x:f>
        <x:v>0.9010086714075253</x:v>
      </x:c>
      <x:c r="H18" s="2"/>
      <x:c r="I18" s="2"/>
      <x:c r="J18" s="2"/>
    </x:row>
    <x:row r="19" ht="26" customHeight="1">
      <x:c r="A19" s="2"/>
      <x:c r="B19" s="2" t="str">
        <x:v>3~7일 미만</x:v>
      </x:c>
      <x:c r="C19" s="8" t="n">
        <x:v>930512</x:v>
      </x:c>
      <x:c r="D19" s="8" t="n">
        <x:v>34220</x:v>
      </x:c>
      <x:c r="E19" s="8" t="n">
        <x:v>1745966</x:v>
      </x:c>
      <x:c r="F19" s="8" t="n">
        <x:v>1568332</x:v>
      </x:c>
      <x:c r="G19" s="15" t="n">
        <x:f>F19/E19</x:f>
        <x:v>0.8982603326754358</x:v>
      </x:c>
      <x:c r="H19" s="2"/>
      <x:c r="I19" s="2"/>
      <x:c r="J19" s="2"/>
    </x:row>
    <x:row r="20" ht="26" customHeight="1">
      <x:c r="A20" s="2"/>
      <x:c r="B20" s="2" t="str">
        <x:v>7일 이상</x:v>
      </x:c>
      <x:c r="C20" s="8" t="n">
        <x:v>1583286</x:v>
      </x:c>
      <x:c r="D20" s="8" t="n">
        <x:v>49286</x:v>
      </x:c>
      <x:c r="E20" s="8" t="n">
        <x:v>2769595</x:v>
      </x:c>
      <x:c r="F20" s="8" t="n">
        <x:v>2462568</x:v>
      </x:c>
      <x:c r="G20" s="15" t="n">
        <x:f>F20/E20</x:f>
        <x:v>0.8891437195691066</x:v>
      </x:c>
      <x:c r="H20" s="2"/>
      <x:c r="I20" s="2"/>
      <x:c r="J20" s="2"/>
    </x:row>
    <x:row r="21" ht="26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6" customHeight="1">
      <x:c r="A22" s="2"/>
      <x:c r="B22" s="2" t="str">
        <x:v>구간별 사용자·단어 구성이 다르고 사용자가 여러 구간에 나타남. 사용자 수를 합산하지 않음.</x:v>
      </x:c>
      <x:c r="C22" s="2"/>
      <x:c r="D22" s="2"/>
      <x:c r="E22" s="2"/>
      <x:c r="F22" s="2"/>
      <x:c r="G22" s="2"/>
      <x:c r="H22" s="2"/>
      <x:c r="I22" s="2"/>
      <x:c r="J22" s="2"/>
    </x:row>
    <x:row r="23" ht="26" customHeight="1">
      <x:c r="A23" s="2"/>
      <x:c r="B23" s="2" t="str">
        <x:v>위 구간표는 기준 주간 전체 복습 기록. 짝 비교 모형의 제한된 표본과 분모가 다름.</x:v>
      </x:c>
      <x:c r="C23" s="2"/>
      <x:c r="D23" s="2"/>
      <x:c r="E23" s="2"/>
      <x:c r="F23" s="2"/>
      <x:c r="G23" s="2"/>
      <x:c r="H23" s="2"/>
      <x:c r="I23" s="2"/>
      <x:c r="J23" s="2"/>
    </x:row>
    <x:row r="24" ht="26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6" customHeight="1">
      <x:c r="A25" s="2"/>
      <x:c r="B25" s="2" t="str">
        <x:v>현재 정답률과의 관계를 학습 성과 개선·미래 반복학습으로 연결한 인과 경로로 해석하지 않음.</x:v>
      </x:c>
      <x:c r="C25" s="2"/>
      <x:c r="D25" s="2"/>
      <x:c r="E25" s="2"/>
      <x:c r="F25" s="2"/>
      <x:c r="G25" s="2"/>
      <x:c r="H25" s="2"/>
      <x:c r="I25" s="2"/>
      <x:c r="J25" s="2"/>
    </x:row>
    <x:row r="26" ht="26" customHeight="1">
      <x:c r="A26" s="2"/>
      <x:c r="B26" s="2" t="str">
        <x:v>단어별 delta와 사용자별 timestamp 간격 CV를 혼용하지 않음.</x:v>
      </x:c>
      <x:c r="C26" s="2"/>
      <x:c r="D26" s="2"/>
      <x:c r="E26" s="2"/>
      <x:c r="F26" s="2"/>
      <x:c r="G26" s="2"/>
      <x:c r="H26" s="2"/>
      <x:c r="I26" s="2"/>
      <x:c r="J26" s="2"/>
    </x:row>
    <x:row r="27" ht="26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6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6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6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6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6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6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6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6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6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6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26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 ht="26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 ht="26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26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6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3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6" customHeight="1">
      <x:c r="A2" s="2"/>
      <x:c r="B2" s="4" t="str">
        <x:v>지표 산출 범위와 보정 분석 대상</x:v>
      </x:c>
      <x:c r="C2" s="3"/>
      <x:c r="D2" s="3"/>
      <x:c r="E2" s="3"/>
      <x:c r="F2" s="3"/>
      <x:c r="G2" s="3"/>
      <x:c r="H2" s="3"/>
      <x:c r="I2" s="3"/>
      <x:c r="J2" s="2"/>
    </x:row>
    <x:row r="3" ht="26" customHeight="1">
      <x:c r="A3" s="2"/>
      <x:c r="B3" s="2" t="str">
        <x:v>5단어 개선율 산출 가능자와 초기 과거 이력까지 명확한 보정 모형 대상자를 구분.</x:v>
      </x:c>
      <x:c r="C3" s="2"/>
      <x:c r="D3" s="2"/>
      <x:c r="E3" s="2"/>
      <x:c r="F3" s="2"/>
      <x:c r="G3" s="2"/>
      <x:c r="H3" s="2"/>
      <x:c r="I3" s="2"/>
      <x:c r="J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6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0" customHeight="1">
      <x:c r="A6" s="2"/>
      <x:c r="B6" s="7" t="str">
        <x:v>세그먼트</x:v>
      </x:c>
      <x:c r="C6" s="7" t="str">
        <x:v>기준 인원</x:v>
      </x:c>
      <x:c r="D6" s="7" t="str">
        <x:v>대상 단어 0개</x:v>
      </x:c>
      <x:c r="E6" s="7" t="str">
        <x:v>1~4개</x:v>
      </x:c>
      <x:c r="F6" s="7" t="str">
        <x:v>5개 이상</x:v>
      </x:c>
      <x:c r="G6" s="7" t="str">
        <x:v>이력 제외</x:v>
      </x:c>
      <x:c r="H6" s="7" t="str">
        <x:v>보정 대상</x:v>
      </x:c>
      <x:c r="I6" s="7" t="str">
        <x:v>간격 모형 대상</x:v>
      </x:c>
      <x:c r="J6" s="2"/>
    </x:row>
    <x:row r="7" ht="26" customHeight="1">
      <x:c r="A7" s="2"/>
      <x:c r="B7" s="11" t="str">
        <x:v>전체</x:v>
      </x:c>
      <x:c r="C7" s="12" t="n">
        <x:v>82467</x:v>
      </x:c>
      <x:c r="D7" s="12" t="n">
        <x:v>55426</x:v>
      </x:c>
      <x:c r="E7" s="12" t="n">
        <x:v>4018</x:v>
      </x:c>
      <x:c r="F7" s="12" t="n">
        <x:v>23023</x:v>
      </x:c>
      <x:c r="G7" s="12" t="n">
        <x:v>1</x:v>
      </x:c>
      <x:c r="H7" s="12" t="n">
        <x:f>F7-G7</x:f>
        <x:v>23022</x:v>
      </x:c>
      <x:c r="I7" s="12" t="n">
        <x:v>23019</x:v>
      </x:c>
      <x:c r="J7" s="2"/>
    </x:row>
    <x:row r="8" ht="26" customHeight="1">
      <x:c r="A8" s="2"/>
      <x:c r="B8" s="2" t="str">
        <x:v>꾸준형</x:v>
      </x:c>
      <x:c r="C8" s="8" t="n">
        <x:v>8882</x:v>
      </x:c>
      <x:c r="D8" s="8" t="n">
        <x:v>458</x:v>
      </x:c>
      <x:c r="E8" s="8" t="n">
        <x:v>319</x:v>
      </x:c>
      <x:c r="F8" s="8" t="n">
        <x:v>8105</x:v>
      </x:c>
      <x:c r="G8" s="8" t="n">
        <x:v>1</x:v>
      </x:c>
      <x:c r="H8" s="8" t="n">
        <x:f>F8-G8</x:f>
        <x:v>8104</x:v>
      </x:c>
      <x:c r="I8" s="8" t="n">
        <x:v>8105</x:v>
      </x:c>
      <x:c r="J8" s="2"/>
    </x:row>
    <x:row r="9" ht="26" customHeight="1">
      <x:c r="A9" s="2"/>
      <x:c r="B9" s="2" t="str">
        <x:v>습관 형성형</x:v>
      </x:c>
      <x:c r="C9" s="8" t="n">
        <x:v>14583</x:v>
      </x:c>
      <x:c r="D9" s="8" t="n">
        <x:v>4158</x:v>
      </x:c>
      <x:c r="E9" s="8" t="n">
        <x:v>2071</x:v>
      </x:c>
      <x:c r="F9" s="8" t="n">
        <x:v>8354</x:v>
      </x:c>
      <x:c r="G9" s="8" t="n">
        <x:v>0</x:v>
      </x:c>
      <x:c r="H9" s="8" t="n">
        <x:f>F9-G9</x:f>
        <x:v>8354</x:v>
      </x:c>
      <x:c r="I9" s="8" t="n">
        <x:v>8352</x:v>
      </x:c>
      <x:c r="J9" s="2"/>
    </x:row>
    <x:row r="10" ht="26" customHeight="1">
      <x:c r="A10" s="2"/>
      <x:c r="B10" s="2" t="str">
        <x:v>최근 단발형</x:v>
      </x:c>
      <x:c r="C10" s="8" t="n">
        <x:v>15402</x:v>
      </x:c>
      <x:c r="D10" s="8" t="n">
        <x:v>15402</x:v>
      </x:c>
      <x:c r="E10" s="8" t="n">
        <x:v>0</x:v>
      </x:c>
      <x:c r="F10" s="8" t="n">
        <x:v>0</x:v>
      </x:c>
      <x:c r="G10" s="8" t="n">
        <x:v>0</x:v>
      </x:c>
      <x:c r="H10" s="8" t="n">
        <x:f>F10-G10</x:f>
        <x:v>0</x:v>
      </x:c>
      <x:c r="I10" s="8" t="n">
        <x:v>0</x:v>
      </x:c>
      <x:c r="J10" s="2"/>
    </x:row>
    <x:row r="11" ht="26" customHeight="1">
      <x:c r="A11" s="2"/>
      <x:c r="B11" s="2" t="str">
        <x:v>멈춤-꾸준형</x:v>
      </x:c>
      <x:c r="C11" s="8" t="n">
        <x:v>3627</x:v>
      </x:c>
      <x:c r="D11" s="8" t="n">
        <x:v>520</x:v>
      </x:c>
      <x:c r="E11" s="8" t="n">
        <x:v>326</x:v>
      </x:c>
      <x:c r="F11" s="8" t="n">
        <x:v>2781</x:v>
      </x:c>
      <x:c r="G11" s="8" t="n">
        <x:v>0</x:v>
      </x:c>
      <x:c r="H11" s="8" t="n">
        <x:f>F11-G11</x:f>
        <x:v>2781</x:v>
      </x:c>
      <x:c r="I11" s="8" t="n">
        <x:v>2780</x:v>
      </x:c>
      <x:c r="J11" s="2"/>
    </x:row>
    <x:row r="12" ht="26" customHeight="1">
      <x:c r="A12" s="2"/>
      <x:c r="B12" s="2" t="str">
        <x:v>멈춤-몰입형</x:v>
      </x:c>
      <x:c r="C12" s="8" t="n">
        <x:v>9303</x:v>
      </x:c>
      <x:c r="D12" s="8" t="n">
        <x:v>5875</x:v>
      </x:c>
      <x:c r="E12" s="8" t="n">
        <x:v>577</x:v>
      </x:c>
      <x:c r="F12" s="8" t="n">
        <x:v>2851</x:v>
      </x:c>
      <x:c r="G12" s="8" t="n">
        <x:v>0</x:v>
      </x:c>
      <x:c r="H12" s="8" t="n">
        <x:f>F12-G12</x:f>
        <x:v>2851</x:v>
      </x:c>
      <x:c r="I12" s="8" t="n">
        <x:v>2850</x:v>
      </x:c>
      <x:c r="J12" s="2"/>
    </x:row>
    <x:row r="13" ht="26" customHeight="1">
      <x:c r="A13" s="2"/>
      <x:c r="B13" s="2" t="str">
        <x:v>멈춤-저활동형</x:v>
      </x:c>
      <x:c r="C13" s="8" t="n">
        <x:v>30670</x:v>
      </x:c>
      <x:c r="D13" s="8" t="n">
        <x:v>29013</x:v>
      </x:c>
      <x:c r="E13" s="8" t="n">
        <x:v>725</x:v>
      </x:c>
      <x:c r="F13" s="8" t="n">
        <x:v>932</x:v>
      </x:c>
      <x:c r="G13" s="8" t="n">
        <x:v>0</x:v>
      </x:c>
      <x:c r="H13" s="8" t="n">
        <x:f>F13-G13</x:f>
        <x:v>932</x:v>
      </x:c>
      <x:c r="I13" s="8" t="n">
        <x:v>932</x:v>
      </x:c>
      <x:c r="J13" s="2"/>
    </x:row>
    <x:row r="14" ht="26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6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6" customHeight="1">
      <x:c r="A16" s="2"/>
      <x:c r="B16" s="2" t="str">
        <x:v>개선율: 같은 사용자·학습 언어·lexeme_id의 서로 다른 날짜 정답률 차이. 단어별 마지막 날짜 노출 가중.</x:v>
      </x:c>
      <x:c r="C16" s="2"/>
      <x:c r="D16" s="2"/>
      <x:c r="E16" s="2"/>
      <x:c r="F16" s="2"/>
      <x:c r="G16" s="2"/>
      <x:c r="H16" s="2"/>
      <x:c r="I16" s="2"/>
      <x:c r="J16" s="2"/>
    </x:row>
    <x:row r="17" ht="26" customHeight="1">
      <x:c r="A17" s="2"/>
      <x:c r="B17" s="2" t="str">
        <x:v>최초 관측 날짜는 가입일이 아님. user_id+timestamp는 실제 레슨 ID가 아닌 추정 세션.</x:v>
      </x:c>
      <x:c r="C17" s="2"/>
      <x:c r="D17" s="2"/>
      <x:c r="E17" s="2"/>
      <x:c r="F17" s="2"/>
      <x:c r="G17" s="2"/>
      <x:c r="H17" s="2"/>
      <x:c r="I17" s="2"/>
      <x:c r="J17" s="2"/>
    </x:row>
    <x:row r="18" ht="26" customHeight="1">
      <x:c r="A18" s="2"/>
      <x:c r="B18" s="2" t="str">
        <x:v>노출 수는 session_seen 합이며 고유 문제 수와 다름. 기록 부족이나 미관측 개선율을 0으로 바꾸지 않음.</x:v>
      </x:c>
      <x:c r="C18" s="2"/>
      <x:c r="D18" s="2"/>
      <x:c r="E18" s="2"/>
      <x:c r="F18" s="2"/>
      <x:c r="G18" s="2"/>
      <x:c r="H18" s="2"/>
      <x:c r="I18" s="2"/>
      <x:c r="J18" s="2"/>
    </x:row>
    <x:row r="19" ht="26" customHeight="1">
      <x:c r="A19" s="2"/>
      <x:c r="B19" s="2" t="str">
        <x:v>원래 개선율에는 delta 필터를 넣지 않음. 직접 간격 분석만 delta ≥ 60초와 명확한 초기 이력을 요구.</x:v>
      </x:c>
      <x:c r="C19" s="2"/>
      <x:c r="D19" s="2"/>
      <x:c r="E19" s="2"/>
      <x:c r="F19" s="2"/>
      <x:c r="G19" s="2"/>
      <x:c r="H19" s="2"/>
      <x:c r="I19" s="2"/>
      <x:c r="J19" s="2"/>
    </x:row>
    <x:row r="20" ht="26" customHeight="1">
      <x:c r="A20" s="2"/>
      <x:c r="B20" s="2" t="str">
        <x:v>초기 이력 충돌: 개선 단어 쌍 7개, 복습 단어 쌍 0개.</x:v>
      </x:c>
      <x:c r="C20" s="2"/>
      <x:c r="D20" s="2"/>
      <x:c r="E20" s="2"/>
      <x:c r="F20" s="2"/>
      <x:c r="G20" s="2"/>
      <x:c r="H20" s="2"/>
      <x:c r="I20" s="2"/>
      <x:c r="J20" s="2"/>
    </x:row>
    <x:row r="21" ht="26" customHeight="1">
      <x:c r="A21" s="2"/>
      <x:c r="B21" s="2" t="str">
        <x:v>가설·모형·6개 검정군을 결과 계산 전에 기록. 추출 중 발견한 이력 모호성 처리만 명시적으로 추가.</x:v>
      </x:c>
      <x:c r="C21" s="2"/>
      <x:c r="D21" s="2"/>
      <x:c r="E21" s="2"/>
      <x:c r="F21" s="2"/>
      <x:c r="G21" s="2"/>
      <x:c r="H21" s="2"/>
      <x:c r="I21" s="2"/>
      <x:c r="J21" s="2"/>
    </x:row>
    <x:row r="22" ht="26" customHeight="1">
      <x:c r="A22" s="2"/>
      <x:c r="B22" s="2" t="str">
        <x:v>사용자 개선율은 user_word_improvement.csv, 단어 쌍은 matched_word_pairs.csv와 review_word_pairs.csv.</x:v>
      </x:c>
      <x:c r="C22" s="2"/>
      <x:c r="D22" s="2"/>
      <x:c r="E22" s="2"/>
      <x:c r="F22" s="2"/>
      <x:c r="G22" s="2"/>
      <x:c r="H22" s="2"/>
      <x:c r="I22" s="2"/>
      <x:c r="J22" s="2"/>
    </x:row>
    <x:row r="23" ht="26" customHeight="1">
      <x:c r="A23" s="2"/>
      <x:c r="B23" s="2" t="str">
        <x:v>같은 단어 기준은 콘텐츠 차이를 줄이지만 모든 난도·노출 선택·측정오차를 통제하지 못함.</x:v>
      </x:c>
      <x:c r="C23" s="2"/>
      <x:c r="D23" s="2"/>
      <x:c r="E23" s="2"/>
      <x:c r="F23" s="2"/>
      <x:c r="G23" s="2"/>
      <x:c r="H23" s="2"/>
      <x:c r="I23" s="2"/>
      <x:c r="J23" s="2"/>
    </x:row>
    <x:row r="24" ht="26" customHeight="1">
      <x:c r="A24" s="2"/>
      <x:c r="B24" s="2" t="str">
        <x:v>기준 주간은 7일, 후속 결과는 4일. 후속 NSM·D7·D30·개입 효과는 검증하지 않음.</x:v>
      </x:c>
      <x:c r="C24" s="2"/>
      <x:c r="D24" s="2"/>
      <x:c r="E24" s="2"/>
      <x:c r="F24" s="2"/>
      <x:c r="G24" s="2"/>
      <x:c r="H24" s="2"/>
      <x:c r="I24" s="2"/>
      <x:c r="J24" s="2"/>
    </x:row>
    <x:row r="25" ht="26" customHeight="1">
      <x:c r="A25" s="2"/>
      <x:c r="B25" s="2" t="str">
        <x:v>공통 지표·기존 분석과의 관계는 v3의 가설과_지표_정의_대조표_2026-10-13.md에 기록.</x:v>
      </x:c>
      <x:c r="C25" s="2"/>
      <x:c r="D25" s="2"/>
      <x:c r="E25" s="2"/>
      <x:c r="F25" s="2"/>
      <x:c r="G25" s="2"/>
      <x:c r="H25" s="2"/>
      <x:c r="I25" s="2"/>
      <x:c r="J25" s="2"/>
    </x:row>
    <x:row r="26" ht="26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6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6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6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6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6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6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6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6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6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6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6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26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 ht="26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 ht="26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26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</x:sheetData>
  <x:pageMargins left="0.7" right="0.7" top="0.75" bottom="0.75" header="0.3" footer="0.3"/>
</x:worksheet>
</file>