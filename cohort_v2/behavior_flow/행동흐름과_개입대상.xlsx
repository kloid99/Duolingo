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1bcc2e5b964d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행동 흐름" sheetId="1" r:id="Rb567862a95df4c6c"/>
    <x:sheet xmlns:r="http://schemas.openxmlformats.org/officeDocument/2006/relationships" name="대상과 시점" sheetId="2" r:id="R820f1108f8b34e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yyyy-mm-dd"/>
  </x:numFmts>
  <x:fonts count="4">
    <x:font>
      <x:sz val="11"/>
      <x:name val="Carlito"/>
    </x:font>
    <x:font>
      <x:sz val="10"/>
      <x:color rgb="FF24364B"/>
      <x:name val="Malgun Gothic"/>
    </x:font>
    <x:font>
      <x:b/>
      <x:sz val="15"/>
      <x:color rgb="FF334B68"/>
      <x:name val="Malgun Gothic"/>
    </x:font>
    <x:font>
      <x:b/>
      <x:sz val="10"/>
      <x:color rgb="FFFFFFFF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334B68"/>
      </x:patternFill>
    </x:fill>
    <x:fill>
      <x:patternFill patternType="solid">
        <x:fgColor rgb="FFEDF2F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CD6E0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d5d074d4e747f2" /><Relationship Type="http://schemas.openxmlformats.org/officeDocument/2006/relationships/theme" Target="/xl/theme/theme1.xml" Id="R7500aa4ebcf8465c" /><Relationship Type="http://schemas.openxmlformats.org/officeDocument/2006/relationships/sharedStrings" Target="/xl/sharedStrings.xml" Id="R4c81551bb36e4d13" /><Relationship Type="http://schemas.openxmlformats.org/officeDocument/2006/relationships/worksheet" Target="/xl/worksheets/sheet1.xml" Id="Rb567862a95df4c6c" /><Relationship Type="http://schemas.openxmlformats.org/officeDocument/2006/relationships/worksheet" Target="/xl/worksheets/sheet2.xml" Id="R820f1108f8b34e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34B68"/>
  </x:sheetPr>
  <x:sheetViews>
    <x:sheetView showGridLines="0" workbookViewId="0"/>
  </x:sheetViews>
  <x:sheetFormatPr defaultRowHeight="15"/>
  <x:cols>
    <x:col min="1" max="1" width="3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2"/>
      <x:c r="B2" s="4" t="str">
        <x:v>첫 학습 뒤 다음 학습이 이어지는 지점</x:v>
      </x:c>
      <x:c r="C2" s="3"/>
      <x:c r="D2" s="3"/>
      <x:c r="E2" s="3"/>
      <x:c r="F2" s="3"/>
      <x:c r="G2" s="3"/>
      <x:c r="H2" s="3"/>
      <x:c r="I2" s="3"/>
      <x:c r="J2" s="2"/>
    </x:row>
    <x:row r="3" ht="25" customHeight="1">
      <x:c r="A3" s="2"/>
      <x:c r="B3" s="2" t="str">
        <x:v>기준 2013.03.01~07 UTC / 추적 03.08~11 UTC / 분석 2026.10.13</x:v>
      </x:c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2"/>
      <x:c r="B4" s="2" t="str">
        <x:v>고정 기준집단을 유지한다. 학습일 수는 서로 다른 UTC 날짜 수이며 세션 수와 다르다.</x:v>
      </x:c>
      <x:c r="C4" s="2"/>
      <x:c r="D4" s="2"/>
      <x:c r="E4" s="2"/>
      <x:c r="F4" s="2"/>
      <x:c r="G4" s="2"/>
      <x:c r="H4" s="2"/>
      <x:c r="I4" s="2"/>
      <x:c r="J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8" customHeight="1">
      <x:c r="A6" s="2"/>
      <x:c r="B6" s="7" t="str">
        <x:v>기준집단</x:v>
      </x:c>
      <x:c r="C6" s="7" t="str">
        <x:v>전체 사용자</x:v>
      </x:c>
      <x:c r="D6" s="7" t="str">
        <x:v>학습 없음</x:v>
      </x:c>
      <x:c r="E6" s="7" t="str">
        <x:v>1일 학습</x:v>
      </x:c>
      <x:c r="F6" s="7" t="str">
        <x:v>2일 이상 학습</x:v>
      </x:c>
      <x:c r="G6" s="7" t="str">
        <x:v>재학습률</x:v>
      </x:c>
      <x:c r="H6" s="7" t="str">
        <x:v>반복학습률</x:v>
      </x:c>
      <x:c r="I6" s="2"/>
      <x:c r="J6" s="2"/>
    </x:row>
    <x:row r="7" ht="25" customHeight="1">
      <x:c r="A7" s="2"/>
      <x:c r="B7" s="2" t="str">
        <x:v>전체</x:v>
      </x:c>
      <x:c r="C7" s="8" t="n">
        <x:v>82467</x:v>
      </x:c>
      <x:c r="D7" s="8" t="n">
        <x:v>53227</x:v>
      </x:c>
      <x:c r="E7" s="8" t="n">
        <x:v>15774</x:v>
      </x:c>
      <x:c r="F7" s="8" t="n">
        <x:v>13466</x:v>
      </x:c>
      <x:c r="G7" s="9" t="n">
        <x:f>SUM(E7:F7)/C7</x:f>
        <x:v>0.35456606885178316</x:v>
      </x:c>
      <x:c r="H7" s="9" t="n">
        <x:f>F7/C7</x:f>
        <x:v>0.16328955824754143</x:v>
      </x:c>
      <x:c r="I7" s="2"/>
      <x:c r="J7" s="2"/>
    </x:row>
    <x:row r="8" ht="25" customHeight="1">
      <x:c r="A8" s="2"/>
      <x:c r="B8" s="2" t="str">
        <x:v>꾸준형</x:v>
      </x:c>
      <x:c r="C8" s="8" t="n">
        <x:v>8882</x:v>
      </x:c>
      <x:c r="D8" s="8" t="n">
        <x:v>1747</x:v>
      </x:c>
      <x:c r="E8" s="8" t="n">
        <x:v>2172</x:v>
      </x:c>
      <x:c r="F8" s="8" t="n">
        <x:v>4963</x:v>
      </x:c>
      <x:c r="G8" s="9" t="n">
        <x:f>SUM(E8:F8)/C8</x:f>
        <x:v>0.803310065300608</x:v>
      </x:c>
      <x:c r="H8" s="9" t="n">
        <x:f>F8/C8</x:f>
        <x:v>0.5587705471740599</x:v>
      </x:c>
      <x:c r="I8" s="2"/>
      <x:c r="J8" s="2"/>
    </x:row>
    <x:row r="9" ht="25" customHeight="1">
      <x:c r="A9" s="2"/>
      <x:c r="B9" s="10" t="str">
        <x:v>습관 형성형</x:v>
      </x:c>
      <x:c r="C9" s="11" t="n">
        <x:v>14583</x:v>
      </x:c>
      <x:c r="D9" s="11" t="n">
        <x:v>6975</x:v>
      </x:c>
      <x:c r="E9" s="11" t="n">
        <x:v>4046</x:v>
      </x:c>
      <x:c r="F9" s="11" t="n">
        <x:v>3562</x:v>
      </x:c>
      <x:c r="G9" s="12" t="n">
        <x:f>SUM(E9:F9)/C9</x:f>
        <x:v>0.5217033532195021</x:v>
      </x:c>
      <x:c r="H9" s="12" t="n">
        <x:f>F9/C9</x:f>
        <x:v>0.2442570115888363</x:v>
      </x:c>
      <x:c r="I9" s="2"/>
      <x:c r="J9" s="2"/>
    </x:row>
    <x:row r="10" ht="25" customHeight="1">
      <x:c r="A10" s="2"/>
      <x:c r="B10" s="2" t="str">
        <x:v>최근 단발형</x:v>
      </x:c>
      <x:c r="C10" s="8" t="n">
        <x:v>15402</x:v>
      </x:c>
      <x:c r="D10" s="8" t="n">
        <x:v>10396</x:v>
      </x:c>
      <x:c r="E10" s="8" t="n">
        <x:v>3144</x:v>
      </x:c>
      <x:c r="F10" s="8" t="n">
        <x:v>1862</x:v>
      </x:c>
      <x:c r="G10" s="9" t="n">
        <x:f>SUM(E10:F10)/C10</x:f>
        <x:v>0.3250227243215167</x:v>
      </x:c>
      <x:c r="H10" s="9" t="n">
        <x:f>F10/C10</x:f>
        <x:v>0.12089339046877029</x:v>
      </x:c>
      <x:c r="I10" s="2"/>
      <x:c r="J10" s="2"/>
    </x:row>
    <x:row r="11" ht="25" customHeight="1">
      <x:c r="A11" s="2"/>
      <x:c r="B11" s="2" t="str">
        <x:v>멈춤-꾸준형</x:v>
      </x:c>
      <x:c r="C11" s="8" t="n">
        <x:v>3627</x:v>
      </x:c>
      <x:c r="D11" s="8" t="n">
        <x:v>1969</x:v>
      </x:c>
      <x:c r="E11" s="8" t="n">
        <x:v>850</x:v>
      </x:c>
      <x:c r="F11" s="8" t="n">
        <x:v>808</x:v>
      </x:c>
      <x:c r="G11" s="9" t="n">
        <x:f>SUM(E11:F11)/C11</x:f>
        <x:v>0.4571271022883926</x:v>
      </x:c>
      <x:c r="H11" s="9" t="n">
        <x:f>F11/C11</x:f>
        <x:v>0.22277364212848083</x:v>
      </x:c>
      <x:c r="I11" s="2"/>
      <x:c r="J11" s="2"/>
    </x:row>
    <x:row r="12" ht="25" customHeight="1">
      <x:c r="A12" s="2"/>
      <x:c r="B12" s="2" t="str">
        <x:v>멈춤-몰입형</x:v>
      </x:c>
      <x:c r="C12" s="8" t="n">
        <x:v>9303</x:v>
      </x:c>
      <x:c r="D12" s="8" t="n">
        <x:v>6847</x:v>
      </x:c>
      <x:c r="E12" s="8" t="n">
        <x:v>1615</x:v>
      </x:c>
      <x:c r="F12" s="8" t="n">
        <x:v>841</x:v>
      </x:c>
      <x:c r="G12" s="9" t="n">
        <x:f>SUM(E12:F12)/C12</x:f>
        <x:v>0.26400085993765454</x:v>
      </x:c>
      <x:c r="H12" s="9" t="n">
        <x:f>F12/C12</x:f>
        <x:v>0.09040094593141997</x:v>
      </x:c>
      <x:c r="I12" s="2"/>
      <x:c r="J12" s="2"/>
    </x:row>
    <x:row r="13" ht="25" customHeight="1">
      <x:c r="A13" s="2"/>
      <x:c r="B13" s="2" t="str">
        <x:v>멈춤-저활동형</x:v>
      </x:c>
      <x:c r="C13" s="8" t="n">
        <x:v>30670</x:v>
      </x:c>
      <x:c r="D13" s="8" t="n">
        <x:v>25293</x:v>
      </x:c>
      <x:c r="E13" s="8" t="n">
        <x:v>3947</x:v>
      </x:c>
      <x:c r="F13" s="8" t="n">
        <x:v>1430</x:v>
      </x:c>
      <x:c r="G13" s="9" t="n">
        <x:f>SUM(E13:F13)/C13</x:f>
        <x:v>0.17531790022823607</x:v>
      </x:c>
      <x:c r="H13" s="9" t="n">
        <x:f>F13/C13</x:f>
        <x:v>0.046625366807955655</x:v>
      </x:c>
      <x:c r="I13" s="2"/>
      <x:c r="J13" s="2"/>
    </x:row>
    <x:row r="14" ht="2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25" customHeight="1">
      <x:c r="A15" s="2"/>
      <x:c r="B15" s="2" t="str">
        <x:v>아래는 3/8·9 첫 학습자만 포함. D1·D2를 모두 관측해 추가 학습 기회를 맞춘다.</x:v>
      </x:c>
      <x:c r="C15" s="2"/>
      <x:c r="D15" s="2"/>
      <x:c r="E15" s="2"/>
      <x:c r="F15" s="2"/>
      <x:c r="G15" s="2"/>
      <x:c r="H15" s="2"/>
      <x:c r="I15" s="2"/>
      <x:c r="J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8" customHeight="1">
      <x:c r="A17" s="2"/>
      <x:c r="B17" s="7" t="str">
        <x:v>첫 학습자 집단</x:v>
      </x:c>
      <x:c r="C17" s="7" t="str">
        <x:v>관측 대상</x:v>
      </x:c>
      <x:c r="D17" s="7" t="str">
        <x:v>D1·D2 없음</x:v>
      </x:c>
      <x:c r="E17" s="7" t="str">
        <x:v>D1만 학습</x:v>
      </x:c>
      <x:c r="F17" s="7" t="str">
        <x:v>D2만 학습</x:v>
      </x:c>
      <x:c r="G17" s="7" t="str">
        <x:v>양일 학습</x:v>
      </x:c>
      <x:c r="H17" s="7" t="str">
        <x:v>추가 학습률</x:v>
      </x:c>
      <x:c r="I17" s="2"/>
      <x:c r="J17" s="2"/>
    </x:row>
    <x:row r="18" ht="25" customHeight="1">
      <x:c r="A18" s="2"/>
      <x:c r="B18" s="2" t="str">
        <x:v>전체</x:v>
      </x:c>
      <x:c r="C18" s="8" t="n">
        <x:v>21087</x:v>
      </x:c>
      <x:c r="D18" s="8" t="n">
        <x:v>10549</x:v>
      </x:c>
      <x:c r="E18" s="8" t="n">
        <x:v>3743</x:v>
      </x:c>
      <x:c r="F18" s="8" t="n">
        <x:v>3006</x:v>
      </x:c>
      <x:c r="G18" s="8" t="n">
        <x:v>3789</x:v>
      </x:c>
      <x:c r="H18" s="9" t="n">
        <x:f>IF(C18=0,"",SUM(E18:G18)/C18)</x:f>
        <x:v>0.4997391757955138</x:v>
      </x:c>
      <x:c r="I18" s="2"/>
      <x:c r="J18" s="2"/>
    </x:row>
    <x:row r="19" ht="25" customHeight="1">
      <x:c r="A19" s="2"/>
      <x:c r="B19" s="2" t="str">
        <x:v>꾸준형</x:v>
      </x:c>
      <x:c r="C19" s="8" t="n">
        <x:v>5897</x:v>
      </x:c>
      <x:c r="D19" s="8" t="n">
        <x:v>1745</x:v>
      </x:c>
      <x:c r="E19" s="8" t="n">
        <x:v>1182</x:v>
      </x:c>
      <x:c r="F19" s="8" t="n">
        <x:v>999</x:v>
      </x:c>
      <x:c r="G19" s="8" t="n">
        <x:v>1971</x:v>
      </x:c>
      <x:c r="H19" s="9" t="n">
        <x:f>IF(C19=0,"",SUM(E19:G19)/C19)</x:f>
        <x:v>0.7040868238087163</x:v>
      </x:c>
      <x:c r="I19" s="2"/>
      <x:c r="J19" s="2"/>
    </x:row>
    <x:row r="20" ht="25" customHeight="1">
      <x:c r="A20" s="2"/>
      <x:c r="B20" s="10" t="str">
        <x:v>습관 형성형</x:v>
      </x:c>
      <x:c r="C20" s="11" t="n">
        <x:v>5679</x:v>
      </x:c>
      <x:c r="D20" s="11" t="n">
        <x:v>2975</x:v>
      </x:c>
      <x:c r="E20" s="11" t="n">
        <x:v>1045</x:v>
      </x:c>
      <x:c r="F20" s="11" t="n">
        <x:v>838</x:v>
      </x:c>
      <x:c r="G20" s="11" t="n">
        <x:v>821</x:v>
      </x:c>
      <x:c r="H20" s="12" t="n">
        <x:f>IF(C20=0,"",SUM(E20:G20)/C20)</x:f>
        <x:v>0.476140165522099</x:v>
      </x:c>
      <x:c r="I20" s="2"/>
      <x:c r="J20" s="2"/>
    </x:row>
    <x:row r="21" ht="25" customHeight="1">
      <x:c r="A21" s="2"/>
      <x:c r="B21" s="2" t="str">
        <x:v>최근 단발형</x:v>
      </x:c>
      <x:c r="C21" s="8" t="n">
        <x:v>3677</x:v>
      </x:c>
      <x:c r="D21" s="8" t="n">
        <x:v>2271</x:v>
      </x:c>
      <x:c r="E21" s="8" t="n">
        <x:v>574</x:v>
      </x:c>
      <x:c r="F21" s="8" t="n">
        <x:v>451</x:v>
      </x:c>
      <x:c r="G21" s="8" t="n">
        <x:v>381</x:v>
      </x:c>
      <x:c r="H21" s="9" t="n">
        <x:f>IF(C21=0,"",SUM(E21:G21)/C21)</x:f>
        <x:v>0.3823769377209682</x:v>
      </x:c>
      <x:c r="I21" s="2"/>
      <x:c r="J21" s="2"/>
    </x:row>
    <x:row r="22" ht="25" customHeight="1">
      <x:c r="A22" s="2"/>
      <x:c r="B22" s="2" t="str">
        <x:v>멈춤-꾸준형</x:v>
      </x:c>
      <x:c r="C22" s="8" t="n">
        <x:v>1158</x:v>
      </x:c>
      <x:c r="D22" s="8" t="n">
        <x:v>525</x:v>
      </x:c>
      <x:c r="E22" s="8" t="n">
        <x:v>232</x:v>
      </x:c>
      <x:c r="F22" s="8" t="n">
        <x:v>185</x:v>
      </x:c>
      <x:c r="G22" s="8" t="n">
        <x:v>216</x:v>
      </x:c>
      <x:c r="H22" s="9" t="n">
        <x:f>IF(C22=0,"",SUM(E22:G22)/C22)</x:f>
        <x:v>0.5466321243523317</x:v>
      </x:c>
      <x:c r="I22" s="2"/>
      <x:c r="J22" s="2"/>
    </x:row>
    <x:row r="23" ht="25" customHeight="1">
      <x:c r="A23" s="2"/>
      <x:c r="B23" s="2" t="str">
        <x:v>멈춤-몰입형</x:v>
      </x:c>
      <x:c r="C23" s="8" t="n">
        <x:v>1526</x:v>
      </x:c>
      <x:c r="D23" s="8" t="n">
        <x:v>915</x:v>
      </x:c>
      <x:c r="E23" s="8" t="n">
        <x:v>262</x:v>
      </x:c>
      <x:c r="F23" s="8" t="n">
        <x:v>193</x:v>
      </x:c>
      <x:c r="G23" s="8" t="n">
        <x:v>156</x:v>
      </x:c>
      <x:c r="H23" s="9" t="n">
        <x:f>IF(C23=0,"",SUM(E23:G23)/C23)</x:f>
        <x:v>0.40039318479685454</x:v>
      </x:c>
      <x:c r="I23" s="2"/>
      <x:c r="J23" s="2"/>
    </x:row>
    <x:row r="24" ht="25" customHeight="1">
      <x:c r="A24" s="2"/>
      <x:c r="B24" s="2" t="str">
        <x:v>멈춤-저활동형</x:v>
      </x:c>
      <x:c r="C24" s="8" t="n">
        <x:v>3150</x:v>
      </x:c>
      <x:c r="D24" s="8" t="n">
        <x:v>2118</x:v>
      </x:c>
      <x:c r="E24" s="8" t="n">
        <x:v>448</x:v>
      </x:c>
      <x:c r="F24" s="8" t="n">
        <x:v>340</x:v>
      </x:c>
      <x:c r="G24" s="8" t="n">
        <x:v>244</x:v>
      </x:c>
      <x:c r="H24" s="9" t="n">
        <x:f>IF(C24=0,"",SUM(E24:G24)/C24)</x:f>
        <x:v>0.32761904761904764</x:v>
      </x:c>
      <x:c r="I24" s="2"/>
      <x:c r="J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5" customHeight="1">
      <x:c r="A26" s="2"/>
      <x:c r="B26" s="2" t="str">
        <x:v>첫 후속 학습에는 전날 학습자도 포함된다. 아래 표와 재개 대상 A1을 구분한다.</x:v>
      </x:c>
      <x:c r="C26" s="2"/>
      <x:c r="D26" s="2"/>
      <x:c r="E26" s="2"/>
      <x:c r="F26" s="2"/>
      <x:c r="G26" s="2"/>
      <x:c r="H26" s="2"/>
      <x:c r="I26" s="2"/>
      <x:c r="J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8" customHeight="1">
      <x:c r="A28" s="2"/>
      <x:c r="B28" s="7" t="str">
        <x:v>습관 형성형 첫 학습일</x:v>
      </x:c>
      <x:c r="C28" s="7" t="str">
        <x:v>첫 학습자</x:v>
      </x:c>
      <x:c r="D28" s="7" t="str">
        <x:v>D1 학습</x:v>
      </x:c>
      <x:c r="E28" s="7" t="str">
        <x:v>D2 학습</x:v>
      </x:c>
      <x:c r="F28" s="7" t="str">
        <x:v>D1 또는 D2</x:v>
      </x:c>
      <x:c r="G28" s="7" t="str">
        <x:v>추가 학습률</x:v>
      </x:c>
      <x:c r="H28" s="7" t="str">
        <x:v>2개 날짜 관측</x:v>
      </x:c>
      <x:c r="I28" s="2"/>
      <x:c r="J28" s="2"/>
    </x:row>
    <x:row r="29" ht="25" customHeight="1">
      <x:c r="A29" s="2"/>
      <x:c r="B29" s="13" t="n">
        <x:v>41341</x:v>
      </x:c>
      <x:c r="C29" s="8" t="n">
        <x:v>4106</x:v>
      </x:c>
      <x:c r="D29" s="8" t="n">
        <x:v>1366</x:v>
      </x:c>
      <x:c r="E29" s="8" t="n">
        <x:v>1193</x:v>
      </x:c>
      <x:c r="F29" s="8" t="n">
        <x:v>1941</x:v>
      </x:c>
      <x:c r="G29" s="9" t="n">
        <x:f>IF(C29=0,"",F29/C29)</x:f>
        <x:v>0.47272284461763275</x:v>
      </x:c>
      <x:c r="H29" s="2" t="str">
        <x:v>완전 관측</x:v>
      </x:c>
      <x:c r="I29" s="2"/>
      <x:c r="J29" s="2"/>
    </x:row>
    <x:row r="30" ht="25" customHeight="1">
      <x:c r="A30" s="2"/>
      <x:c r="B30" s="13" t="n">
        <x:v>41342</x:v>
      </x:c>
      <x:c r="C30" s="8" t="n">
        <x:v>1573</x:v>
      </x:c>
      <x:c r="D30" s="8" t="n">
        <x:v>500</x:v>
      </x:c>
      <x:c r="E30" s="8" t="n">
        <x:v>466</x:v>
      </x:c>
      <x:c r="F30" s="8" t="n">
        <x:v>763</x:v>
      </x:c>
      <x:c r="G30" s="9" t="n">
        <x:f>IF(C30=0,"",F30/C30)</x:f>
        <x:v>0.48506039415130325</x:v>
      </x:c>
      <x:c r="H30" s="2" t="str">
        <x:v>완전 관측</x:v>
      </x:c>
      <x:c r="I30" s="2"/>
      <x:c r="J30" s="2"/>
    </x:row>
    <x:row r="31" ht="25" customHeight="1">
      <x:c r="A31" s="2"/>
      <x:c r="B31" s="13" t="n">
        <x:v>41343</x:v>
      </x:c>
      <x:c r="C31" s="8" t="n">
        <x:v>971</x:v>
      </x:c>
      <x:c r="D31" s="8" t="n">
        <x:v>267</x:v>
      </x:c>
      <x:c r="E31" s="8"/>
      <x:c r="F31" s="8"/>
      <x:c r="G31" s="9"/>
      <x:c r="H31" s="2" t="str">
        <x:v>미완전 관측</x:v>
      </x:c>
      <x:c r="I31" s="2"/>
      <x:c r="J31" s="2"/>
    </x:row>
    <x:row r="32" ht="25" customHeight="1">
      <x:c r="A32" s="2"/>
      <x:c r="B32" s="13" t="n">
        <x:v>41344</x:v>
      </x:c>
      <x:c r="C32" s="8" t="n">
        <x:v>958</x:v>
      </x:c>
      <x:c r="D32" s="8"/>
      <x:c r="E32" s="8"/>
      <x:c r="F32" s="8"/>
      <x:c r="G32" s="9"/>
      <x:c r="H32" s="2" t="str">
        <x:v>미완전 관측</x:v>
      </x:c>
      <x:c r="I32" s="2"/>
      <x:c r="J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25" customHeight="1">
      <x:c r="A34" s="2"/>
      <x:c r="B34" s="2" t="str">
        <x:v>3/10·11 첫 학습자는 두 날짜 결과가 미관측이다. 해당 추가 학습 인원·비율은 빈칸으로 둔다.</x:v>
      </x:c>
      <x:c r="C34" s="2"/>
      <x:c r="D34" s="2"/>
      <x:c r="E34" s="2"/>
      <x:c r="F34" s="2"/>
      <x:c r="G34" s="2"/>
      <x:c r="H34" s="2"/>
      <x:c r="I34" s="2"/>
      <x:c r="J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25" customHeight="1">
      <x:c r="A36" s="2"/>
      <x:c r="B36" s="2" t="str">
        <x:v>원천: v3 고정 사용자 코호트·사용자별 일별 활동·첫 후속 학습 코호트. 기준 시점 3/8 00:00 UTC.</x:v>
      </x:c>
      <x:c r="C36" s="2"/>
      <x:c r="D36" s="2"/>
      <x:c r="E36" s="2"/>
      <x:c r="F36" s="2"/>
      <x:c r="G36" s="2"/>
      <x:c r="H36" s="2"/>
      <x:c r="I36" s="2"/>
      <x:c r="J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890A8"/>
  </x:sheetPr>
  <x:sheetViews>
    <x:sheetView showGridLines="0" workbookViewId="0"/>
  </x:sheetViews>
  <x:sheetFormatPr defaultRowHeight="15"/>
  <x:cols>
    <x:col min="1" max="1" width="3" hidden="0" customWidth="1"/>
    <x:col min="2" max="2" width="23" hidden="0" customWidth="1"/>
    <x:col min="3" max="3" width="28" hidden="0" customWidth="1"/>
    <x:col min="4" max="4" width="16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3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2"/>
      <x:c r="B2" s="4" t="str">
        <x:v>주후보 A1: 재개 직후 다음 학습 연결</x:v>
      </x:c>
      <x:c r="C2" s="3"/>
      <x:c r="D2" s="3"/>
      <x:c r="E2" s="3"/>
      <x:c r="F2" s="3"/>
      <x:c r="G2" s="3"/>
      <x:c r="H2" s="3"/>
      <x:c r="I2" s="3"/>
      <x:c r="J2" s="2"/>
    </x:row>
    <x:row r="3" ht="25" customHeight="1">
      <x:c r="A3" s="2"/>
      <x:c r="B3" s="2" t="str">
        <x:v>A1은 습관 형성형의 첫 후속 학습이며 직전 완전 UTC 날짜 1개 이상 학습 기록이 없는 사람.</x:v>
      </x:c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2"/>
      <x:c r="B4" s="2" t="str">
        <x:v>A 결과: 첫 학습 다음 D1·D2의 학습. B 결과: 2일 비활동 확인 시점의 당일·다음날 학습.</x:v>
      </x:c>
      <x:c r="C4" s="2"/>
      <x:c r="D4" s="2"/>
      <x:c r="E4" s="2"/>
      <x:c r="F4" s="2"/>
      <x:c r="G4" s="2"/>
      <x:c r="H4" s="2"/>
      <x:c r="I4" s="2"/>
      <x:c r="J4" s="2"/>
    </x:row>
    <x:row r="5" ht="25" customHeight="1">
      <x:c r="A5" s="2"/>
      <x:c r="B5" s="2" t="str">
        <x:v>A는 첫 기록 이벤트 직후, B는 UTC 00:00. 한 후보 유형 안에서는 사용자당 최초 1회만 선정.</x:v>
      </x:c>
      <x:c r="C5" s="2"/>
      <x:c r="D5" s="2"/>
      <x:c r="E5" s="2"/>
      <x:c r="F5" s="2"/>
      <x:c r="G5" s="2"/>
      <x:c r="H5" s="2"/>
      <x:c r="I5" s="2"/>
      <x:c r="J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28" customHeight="1">
      <x:c r="A7" s="2"/>
      <x:c r="B7" s="7" t="str">
        <x:v>후보</x:v>
      </x:c>
      <x:c r="C7" s="7" t="str">
        <x:v>대상 범위</x:v>
      </x:c>
      <x:c r="D7" s="7" t="str">
        <x:v>자격 날짜</x:v>
      </x:c>
      <x:c r="E7" s="7" t="str">
        <x:v>해당 사용자</x:v>
      </x:c>
      <x:c r="F7" s="7" t="str">
        <x:v>완전 관측</x:v>
      </x:c>
      <x:c r="G7" s="7" t="str">
        <x:v>미완전 관측</x:v>
      </x:c>
      <x:c r="H7" s="7" t="str">
        <x:v>결과 학습자</x:v>
      </x:c>
      <x:c r="I7" s="7" t="str">
        <x:v>학습률</x:v>
      </x:c>
      <x:c r="J7" s="2"/>
    </x:row>
    <x:row r="8" ht="25" customHeight="1">
      <x:c r="A8" s="2"/>
      <x:c r="B8" s="2" t="str">
        <x:v>A 전체 참고</x:v>
      </x:c>
      <x:c r="C8" s="2" t="str">
        <x:v>전체 해당 대상</x:v>
      </x:c>
      <x:c r="D8" s="13" t="n">
        <x:v>41341</x:v>
      </x:c>
      <x:c r="E8" s="8" t="n">
        <x:v>4106</x:v>
      </x:c>
      <x:c r="F8" s="8" t="n">
        <x:v>4106</x:v>
      </x:c>
      <x:c r="G8" s="8" t="n">
        <x:f>E8-F8</x:f>
        <x:v>0</x:v>
      </x:c>
      <x:c r="H8" s="8" t="n">
        <x:v>1941</x:v>
      </x:c>
      <x:c r="I8" s="9" t="n">
        <x:f>IF(F8=0,"",H8/F8)</x:f>
        <x:v>0.47272284461763275</x:v>
      </x:c>
      <x:c r="J8" s="2"/>
    </x:row>
    <x:row r="9" ht="25" customHeight="1">
      <x:c r="A9" s="2"/>
      <x:c r="B9" s="2" t="str">
        <x:v>A 전체 참고</x:v>
      </x:c>
      <x:c r="C9" s="2" t="str">
        <x:v>전체 해당 대상</x:v>
      </x:c>
      <x:c r="D9" s="13" t="n">
        <x:v>41342</x:v>
      </x:c>
      <x:c r="E9" s="8" t="n">
        <x:v>1573</x:v>
      </x:c>
      <x:c r="F9" s="8" t="n">
        <x:v>1573</x:v>
      </x:c>
      <x:c r="G9" s="8" t="n">
        <x:f>E9-F9</x:f>
        <x:v>0</x:v>
      </x:c>
      <x:c r="H9" s="8" t="n">
        <x:v>763</x:v>
      </x:c>
      <x:c r="I9" s="9" t="n">
        <x:f>IF(F9=0,"",H9/F9)</x:f>
        <x:v>0.48506039415130325</x:v>
      </x:c>
      <x:c r="J9" s="2"/>
    </x:row>
    <x:row r="10" ht="25" customHeight="1">
      <x:c r="A10" s="2"/>
      <x:c r="B10" s="2" t="str">
        <x:v>A 전체 참고</x:v>
      </x:c>
      <x:c r="C10" s="2" t="str">
        <x:v>전체 해당 대상</x:v>
      </x:c>
      <x:c r="D10" s="13" t="n">
        <x:v>41343</x:v>
      </x:c>
      <x:c r="E10" s="8" t="n">
        <x:v>971</x:v>
      </x:c>
      <x:c r="F10" s="8" t="n">
        <x:v>0</x:v>
      </x:c>
      <x:c r="G10" s="8" t="n">
        <x:f>E10-F10</x:f>
        <x:v>971</x:v>
      </x:c>
      <x:c r="H10" s="8"/>
      <x:c r="I10" s="9" t="str">
        <x:f>IF(F10=0,"",H10/F10)</x:f>
      </x:c>
      <x:c r="J10" s="2"/>
    </x:row>
    <x:row r="11" ht="25" customHeight="1">
      <x:c r="A11" s="2"/>
      <x:c r="B11" s="2" t="str">
        <x:v>A 전체 참고</x:v>
      </x:c>
      <x:c r="C11" s="2" t="str">
        <x:v>전체 해당 대상</x:v>
      </x:c>
      <x:c r="D11" s="13" t="n">
        <x:v>41344</x:v>
      </x:c>
      <x:c r="E11" s="8" t="n">
        <x:v>958</x:v>
      </x:c>
      <x:c r="F11" s="8" t="n">
        <x:v>0</x:v>
      </x:c>
      <x:c r="G11" s="8" t="n">
        <x:f>E11-F11</x:f>
        <x:v>958</x:v>
      </x:c>
      <x:c r="H11" s="8"/>
      <x:c r="I11" s="9" t="str">
        <x:f>IF(F11=0,"",H11/F11)</x:f>
      </x:c>
      <x:c r="J11" s="2"/>
    </x:row>
    <x:row r="12" ht="25" customHeight="1">
      <x:c r="A12" s="2"/>
      <x:c r="B12" s="2" t="str">
        <x:v>A 전체 참고</x:v>
      </x:c>
      <x:c r="C12" s="2" t="str">
        <x:v>전체 해당 대상</x:v>
      </x:c>
      <x:c r="D12" s="13" t="str">
        <x:v>합계</x:v>
      </x:c>
      <x:c r="E12" s="8" t="n">
        <x:v>7608</x:v>
      </x:c>
      <x:c r="F12" s="8" t="n">
        <x:v>5679</x:v>
      </x:c>
      <x:c r="G12" s="8" t="n">
        <x:f>E12-F12</x:f>
        <x:v>1929</x:v>
      </x:c>
      <x:c r="H12" s="8" t="n">
        <x:v>2704</x:v>
      </x:c>
      <x:c r="I12" s="9" t="n">
        <x:f>IF(F12=0,"",H12/F12)</x:f>
        <x:v>0.476140165522099</x:v>
      </x:c>
      <x:c r="J12" s="2"/>
    </x:row>
    <x:row r="13" ht="25" customHeight="1">
      <x:c r="A13" s="2"/>
      <x:c r="B13" s="2" t="str">
        <x:v>A0 연속 학습</x:v>
      </x:c>
      <x:c r="C13" s="2" t="str">
        <x:v>직전 비활동 0일</x:v>
      </x:c>
      <x:c r="D13" s="13" t="str">
        <x:v>합계</x:v>
      </x:c>
      <x:c r="E13" s="8" t="n">
        <x:v>2799</x:v>
      </x:c>
      <x:c r="F13" s="8" t="n">
        <x:v>2799</x:v>
      </x:c>
      <x:c r="G13" s="8" t="n">
        <x:f>E13-F13</x:f>
        <x:v>0</x:v>
      </x:c>
      <x:c r="H13" s="8" t="n">
        <x:v>1392</x:v>
      </x:c>
      <x:c r="I13" s="9" t="n">
        <x:f>IF(F13=0,"",H13/F13)</x:f>
        <x:v>0.49732047159699894</x:v>
      </x:c>
      <x:c r="J13" s="2"/>
    </x:row>
    <x:row r="14" ht="25" customHeight="1">
      <x:c r="A14" s="2"/>
      <x:c r="B14" s="10" t="str">
        <x:v>A1 주후보</x:v>
      </x:c>
      <x:c r="C14" s="10" t="str">
        <x:v>직전 비활동 1일 이상</x:v>
      </x:c>
      <x:c r="D14" s="14" t="str">
        <x:v>합계</x:v>
      </x:c>
      <x:c r="E14" s="11" t="n">
        <x:v>4809</x:v>
      </x:c>
      <x:c r="F14" s="11" t="n">
        <x:v>2880</x:v>
      </x:c>
      <x:c r="G14" s="11" t="n">
        <x:f>E14-F14</x:f>
        <x:v>1929</x:v>
      </x:c>
      <x:c r="H14" s="11" t="n">
        <x:v>1312</x:v>
      </x:c>
      <x:c r="I14" s="12" t="n">
        <x:f>IF(F14=0,"",H14/F14)</x:f>
        <x:v>0.45555555555555555</x:v>
      </x:c>
      <x:c r="J14" s="2"/>
    </x:row>
    <x:row r="15" ht="25" customHeight="1">
      <x:c r="A15" s="2"/>
      <x:c r="B15" s="2" t="str">
        <x:v>B 비활동 복귀</x:v>
      </x:c>
      <x:c r="C15" s="2" t="str">
        <x:v>전체 해당 대상</x:v>
      </x:c>
      <x:c r="D15" s="13" t="n">
        <x:v>41341</x:v>
      </x:c>
      <x:c r="E15" s="8" t="n">
        <x:v>0</x:v>
      </x:c>
      <x:c r="F15" s="8" t="n">
        <x:v>0</x:v>
      </x:c>
      <x:c r="G15" s="8" t="n">
        <x:f>E15-F15</x:f>
        <x:v>0</x:v>
      </x:c>
      <x:c r="H15" s="8"/>
      <x:c r="I15" s="9" t="str">
        <x:f>IF(F15=0,"",H15/F15)</x:f>
      </x:c>
      <x:c r="J15" s="2"/>
    </x:row>
    <x:row r="16" ht="25" customHeight="1">
      <x:c r="A16" s="2"/>
      <x:c r="B16" s="2" t="str">
        <x:v>B 비활동 복귀</x:v>
      </x:c>
      <x:c r="C16" s="2" t="str">
        <x:v>전체 해당 대상</x:v>
      </x:c>
      <x:c r="D16" s="13" t="n">
        <x:v>41342</x:v>
      </x:c>
      <x:c r="E16" s="8" t="n">
        <x:v>4675</x:v>
      </x:c>
      <x:c r="F16" s="8" t="n">
        <x:v>4675</x:v>
      </x:c>
      <x:c r="G16" s="8" t="n">
        <x:f>E16-F16</x:f>
        <x:v>0</x:v>
      </x:c>
      <x:c r="H16" s="8" t="n">
        <x:v>1006</x:v>
      </x:c>
      <x:c r="I16" s="9" t="n">
        <x:f>IF(F16=0,"",H16/F16)</x:f>
        <x:v>0.21518716577540106</x:v>
      </x:c>
      <x:c r="J16" s="2"/>
    </x:row>
    <x:row r="17" ht="25" customHeight="1">
      <x:c r="A17" s="2"/>
      <x:c r="B17" s="2" t="str">
        <x:v>B 비활동 복귀</x:v>
      </x:c>
      <x:c r="C17" s="2" t="str">
        <x:v>전체 해당 대상</x:v>
      </x:c>
      <x:c r="D17" s="13" t="n">
        <x:v>41343</x:v>
      </x:c>
      <x:c r="E17" s="8" t="n">
        <x:v>4840</x:v>
      </x:c>
      <x:c r="F17" s="8" t="n">
        <x:v>4840</x:v>
      </x:c>
      <x:c r="G17" s="8" t="n">
        <x:f>E17-F17</x:f>
        <x:v>0</x:v>
      </x:c>
      <x:c r="H17" s="8" t="n">
        <x:v>1141</x:v>
      </x:c>
      <x:c r="I17" s="9" t="n">
        <x:f>IF(F17=0,"",H17/F17)</x:f>
        <x:v>0.23574380165289255</x:v>
      </x:c>
      <x:c r="J17" s="2"/>
    </x:row>
    <x:row r="18" ht="25" customHeight="1">
      <x:c r="A18" s="2"/>
      <x:c r="B18" s="2" t="str">
        <x:v>B 비활동 복귀</x:v>
      </x:c>
      <x:c r="C18" s="2" t="str">
        <x:v>전체 해당 대상</x:v>
      </x:c>
      <x:c r="D18" s="13" t="n">
        <x:v>41344</x:v>
      </x:c>
      <x:c r="E18" s="8" t="n">
        <x:v>2165</x:v>
      </x:c>
      <x:c r="F18" s="8" t="n">
        <x:v>0</x:v>
      </x:c>
      <x:c r="G18" s="8" t="n">
        <x:f>E18-F18</x:f>
        <x:v>2165</x:v>
      </x:c>
      <x:c r="H18" s="8"/>
      <x:c r="I18" s="9" t="str">
        <x:f>IF(F18=0,"",H18/F18)</x:f>
      </x:c>
      <x:c r="J18" s="2"/>
    </x:row>
    <x:row r="19" ht="25" customHeight="1">
      <x:c r="A19" s="2"/>
      <x:c r="B19" s="2" t="str">
        <x:v>B 비활동 복귀</x:v>
      </x:c>
      <x:c r="C19" s="2" t="str">
        <x:v>전체 해당 대상</x:v>
      </x:c>
      <x:c r="D19" s="13" t="str">
        <x:v>합계</x:v>
      </x:c>
      <x:c r="E19" s="8" t="n">
        <x:v>11680</x:v>
      </x:c>
      <x:c r="F19" s="8" t="n">
        <x:v>9515</x:v>
      </x:c>
      <x:c r="G19" s="8" t="n">
        <x:f>E19-F19</x:f>
        <x:v>2165</x:v>
      </x:c>
      <x:c r="H19" s="8" t="n">
        <x:v>2147</x:v>
      </x:c>
      <x:c r="I19" s="9" t="n">
        <x:f>IF(F19=0,"",H19/F19)</x:f>
        <x:v>0.2256437204414083</x:v>
      </x:c>
      <x:c r="J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5" customHeight="1">
      <x:c r="A21" s="2"/>
      <x:c r="B21" s="2" t="str">
        <x:v>A1: 4,809명 중 2,880명만 D1·D2 완전 관측. 추가 학습 1,312명, 45.6%.</x:v>
      </x:c>
      <x:c r="C21" s="2"/>
      <x:c r="D21" s="2"/>
      <x:c r="E21" s="2"/>
      <x:c r="F21" s="2"/>
      <x:c r="G21" s="2"/>
      <x:c r="H21" s="2"/>
      <x:c r="I21" s="2"/>
      <x:c r="J21" s="2"/>
    </x:row>
    <x:row r="22" ht="25" customHeight="1">
      <x:c r="A22" s="2"/>
      <x:c r="B22" s="2" t="str">
        <x:v>A 전체 47.6%와 A1 45.6%는 서로 다른 대상이다. 24.4% 전체 반복학습률도 별도 지표다.</x:v>
      </x:c>
      <x:c r="C22" s="2"/>
      <x:c r="D22" s="2"/>
      <x:c r="E22" s="2"/>
      <x:c r="F22" s="2"/>
      <x:c r="G22" s="2"/>
      <x:c r="H22" s="2"/>
      <x:c r="I22" s="2"/>
      <x:c r="J22" s="2"/>
    </x:row>
    <x:row r="23" ht="25" customHeight="1">
      <x:c r="A23" s="2"/>
      <x:c r="B23" s="2" t="str">
        <x:v>B는 두 완전 UTC 날짜가 끝난 직후 선정한다. 자격 당일 학습 여부를 선정 조건에 넣지 않는다.</x:v>
      </x:c>
      <x:c r="C23" s="2"/>
      <x:c r="D23" s="2"/>
      <x:c r="E23" s="2"/>
      <x:c r="F23" s="2"/>
      <x:c r="G23" s="2"/>
      <x:c r="H23" s="2"/>
      <x:c r="I23" s="2"/>
      <x:c r="J23" s="2"/>
    </x:row>
    <x:row r="24" ht="25" customHeight="1">
      <x:c r="A24" s="2"/>
      <x:c r="B24" s="2" t="str">
        <x:v>A/B 중복 4,705명. 실제 병행 시 공통 배정·노출 이력에 따른 제외 규칙이 필요하다.</x:v>
      </x:c>
      <x:c r="C24" s="2"/>
      <x:c r="D24" s="2"/>
      <x:c r="E24" s="2"/>
      <x:c r="F24" s="2"/>
      <x:c r="G24" s="2"/>
      <x:c r="H24" s="2"/>
      <x:c r="I24" s="2"/>
      <x:c r="J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5" customHeight="1">
      <x:c r="A26" s="2"/>
      <x:c r="B26" s="2" t="str">
        <x:v>학습률은 관측된 행동이며 개입 효과가 아니다. A와 B는 대상·시작 시점이 달라 효과 순위를 비교하지 않는다.</x:v>
      </x:c>
      <x:c r="C26" s="2"/>
      <x:c r="D26" s="2"/>
      <x:c r="E26" s="2"/>
      <x:c r="F26" s="2"/>
      <x:c r="G26" s="2"/>
      <x:c r="H26" s="2"/>
      <x:c r="I26" s="2"/>
      <x:c r="J26" s="2"/>
    </x:row>
    <x:row r="27" ht="25" customHeight="1">
      <x:c r="A27" s="2"/>
      <x:c r="B27" s="2" t="str">
        <x:v>후보 목록에는 기준 주간 정보와 개입 전 활동만 포함. 이후 결과는 별도 파일에 저장한다.</x:v>
      </x:c>
      <x:c r="C27" s="2"/>
      <x:c r="D27" s="2"/>
      <x:c r="E27" s="2"/>
      <x:c r="F27" s="2"/>
      <x:c r="G27" s="2"/>
      <x:c r="H27" s="2"/>
      <x:c r="I27" s="2"/>
      <x:c r="J27" s="2"/>
    </x:row>
    <x:row r="28" ht="25" customHeight="1">
      <x:c r="A28" s="2"/>
      <x:c r="B28" s="2" t="str">
        <x:v>현재 A의 자격 시점은 날짜까지 재구성했다. 실제 운영에는 첫 학습 이벤트 timestamp가 필요하다.</x:v>
      </x:c>
      <x:c r="C28" s="2"/>
      <x:c r="D28" s="2"/>
      <x:c r="E28" s="2"/>
      <x:c r="F28" s="2"/>
      <x:c r="G28" s="2"/>
      <x:c r="H28" s="2"/>
      <x:c r="I28" s="2"/>
      <x:c r="J28" s="2"/>
    </x:row>
    <x:row r="29" ht="25" customHeight="1">
      <x:c r="A29" s="2"/>
      <x:c r="B29" s="2" t="str">
        <x:v>실제 학습 완료·화면 노출 로그가 없어 레슨 종료 시점이나 알림 발송 시간을 확정하지 않는다.</x:v>
      </x:c>
      <x:c r="C29" s="2"/>
      <x:c r="D29" s="2"/>
      <x:c r="E29" s="2"/>
      <x:c r="F29" s="2"/>
      <x:c r="G29" s="2"/>
      <x:c r="H29" s="2"/>
      <x:c r="I29" s="2"/>
      <x:c r="J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5" customHeight="1">
      <x:c r="A31" s="2"/>
      <x:c r="B31" s="2" t="str">
        <x:v>원천: 기준 주간 고정 세그먼트와 자격 시점 전 사용자별 일별 활동. 이후 종료 상태는 선정에 사용하지 않는다.</x:v>
      </x:c>
      <x:c r="C31" s="2"/>
      <x:c r="D31" s="2"/>
      <x:c r="E31" s="2"/>
      <x:c r="F31" s="2"/>
      <x:c r="G31" s="2"/>
      <x:c r="H31" s="2"/>
      <x:c r="I31" s="2"/>
      <x:c r="J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</x:sheetData>
  <x:pageMargins left="0.7" right="0.7" top="0.75" bottom="0.75" header="0.3" footer="0.3"/>
</x:worksheet>
</file>