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4a1aa3820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세그먼트 요약" sheetId="1" r:id="R19b9a3ba6dbc436b"/>
    <x:sheet xmlns:r="http://schemas.openxmlformats.org/officeDocument/2006/relationships" name="시점별 추적" sheetId="2" r:id="R3904cae2dc1f48e9"/>
    <x:sheet xmlns:r="http://schemas.openxmlformats.org/officeDocument/2006/relationships" name="복귀일 코호트" sheetId="3" r:id="R390330a845214307"/>
    <x:sheet xmlns:r="http://schemas.openxmlformats.org/officeDocument/2006/relationships" name="분석 기준과 액션" sheetId="4" r:id="R8b51bba98b46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0&quot;일&quot;"/>
    <x:numFmt numFmtId="203" formatCode="m/d"/>
    <x:numFmt numFmtId="204" formatCode="0"/>
    <x:numFmt numFmtId="205" formatCode="0.0000"/>
    <x:numFmt numFmtId="206" formatCode="#,##0&quot;명&quot;"/>
  </x:numFmts>
  <x:fonts count="5">
    <x:font>
      <x:sz val="11"/>
      <x:name val="Carlito"/>
    </x:font>
    <x:font>
      <x:sz val="10"/>
      <x:color rgb="FF24364B"/>
      <x:name val="Malgun Gothic"/>
    </x:font>
    <x:font>
      <x:b/>
      <x:sz val="14"/>
      <x:color rgb="FF24364B"/>
      <x:name val="Malgun Gothic"/>
    </x:font>
    <x:font>
      <x:b/>
      <x:sz val="10"/>
      <x:color rgb="FFFFFFFF"/>
      <x:name val="Malgun Gothic"/>
    </x:font>
    <x:font>
      <x:b/>
      <x:sz val="10"/>
      <x:color rgb="FF24364B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8"/>
      </x:patternFill>
    </x:fill>
    <x:fill>
      <x:patternFill patternType="solid">
        <x:fgColor rgb="FFE9EEF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B5C4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6e7fe555c414c" /><Relationship Type="http://schemas.openxmlformats.org/officeDocument/2006/relationships/theme" Target="/xl/theme/theme1.xml" Id="Re9ff44cf290045ea" /><Relationship Type="http://schemas.openxmlformats.org/officeDocument/2006/relationships/sharedStrings" Target="/xl/sharedStrings.xml" Id="R66aed52e22e544be" /><Relationship Type="http://schemas.openxmlformats.org/officeDocument/2006/relationships/worksheet" Target="/xl/worksheets/sheet1.xml" Id="R19b9a3ba6dbc436b" /><Relationship Type="http://schemas.openxmlformats.org/officeDocument/2006/relationships/worksheet" Target="/xl/worksheets/sheet2.xml" Id="R3904cae2dc1f48e9" /><Relationship Type="http://schemas.openxmlformats.org/officeDocument/2006/relationships/worksheet" Target="/xl/worksheets/sheet3.xml" Id="R390330a845214307" /><Relationship Type="http://schemas.openxmlformats.org/officeDocument/2006/relationships/worksheet" Target="/xl/worksheets/sheet4.xml" Id="R8b51bba98b464f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 ht="25" customHeight="1">
      <x:c r="B2" s="3" t="str">
        <x:v>반복 학습과 비활동 신호 — 수정된 6개 세그먼트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</x:row>
    <x:row r="4" ht="25" customHeight="1">
      <x:c r="B4" s="2" t="str">
        <x:v>기준 2013.03.01~07 | 추적 03.08~11 | UTC | 모든 기준 사용자 포함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3" customHeight="1">
      <x:c r="B6" s="8" t="str">
        <x:v>세그먼트</x:v>
      </x:c>
      <x:c r="C6" s="8" t="str">
        <x:v>대상 인원</x:v>
      </x:c>
      <x:c r="D6" s="8" t="str">
        <x:v>1회 이상
재학습 인원</x:v>
      </x:c>
      <x:c r="E6" s="8" t="str">
        <x:v>4일 내
재학습률</x:v>
      </x:c>
      <x:c r="F6" s="8" t="str">
        <x:v>2일 이상
학습 인원</x:v>
      </x:c>
      <x:c r="G6" s="8" t="str">
        <x:v>2일 이상
학습률</x:v>
      </x:c>
      <x:c r="H6" s="8" t="str">
        <x:v>3일 비활동
인원(3/11)</x:v>
      </x:c>
      <x:c r="I6" s="8" t="str">
        <x:v>3일 비활동
비율(3/11)</x:v>
      </x:c>
      <x:c r="J6" s="8" t="str">
        <x:v>활동일 수
합계</x:v>
      </x:c>
      <x:c r="K6" s="8" t="str">
        <x:v>평균
활동일 수</x:v>
      </x:c>
      <x:c r="L6" s="2"/>
      <x:c r="M6" s="2"/>
      <x:c r="N6" s="2"/>
    </x:row>
    <x:row r="7" ht="25" customHeight="1">
      <x:c r="B7" s="2" t="str">
        <x:v>꾸준형</x:v>
      </x:c>
      <x:c r="C7" s="9" t="n">
        <x:v>8882</x:v>
      </x:c>
      <x:c r="D7" s="9" t="n">
        <x:v>7135</x:v>
      </x:c>
      <x:c r="E7" s="10" t="n">
        <x:f>D7/C7</x:f>
        <x:v>0.803310065300608</x:v>
      </x:c>
      <x:c r="F7" s="9" t="n">
        <x:v>4963</x:v>
      </x:c>
      <x:c r="G7" s="10" t="n">
        <x:f>F7/C7</x:f>
        <x:v>0.5587705471740599</x:v>
      </x:c>
      <x:c r="H7" s="9" t="n">
        <x:v>2559</x:v>
      </x:c>
      <x:c r="I7" s="10" t="n">
        <x:f>H7/C7</x:f>
        <x:v>0.28811078585904076</x:v>
      </x:c>
      <x:c r="J7" s="9" t="n">
        <x:v>16114</x:v>
      </x:c>
      <x:c r="K7" s="11" t="n">
        <x:f>J7/C7</x:f>
        <x:v>1.8142310290475119</x:v>
      </x:c>
      <x:c r="L7" s="2"/>
      <x:c r="M7" s="2"/>
      <x:c r="N7" s="2"/>
    </x:row>
    <x:row r="8" ht="25" customHeight="1">
      <x:c r="B8" s="2" t="str">
        <x:v>습관 형성형</x:v>
      </x:c>
      <x:c r="C8" s="9" t="n">
        <x:v>14583</x:v>
      </x:c>
      <x:c r="D8" s="9" t="n">
        <x:v>7608</x:v>
      </x:c>
      <x:c r="E8" s="10" t="n">
        <x:f>D8/C8</x:f>
        <x:v>0.5217033532195021</x:v>
      </x:c>
      <x:c r="F8" s="9" t="n">
        <x:v>3562</x:v>
      </x:c>
      <x:c r="G8" s="10" t="n">
        <x:f>F8/C8</x:f>
        <x:v>0.2442570115888363</x:v>
      </x:c>
      <x:c r="H8" s="9" t="n">
        <x:v>8549</x:v>
      </x:c>
      <x:c r="I8" s="10" t="n">
        <x:f>H8/C8</x:f>
        <x:v>0.586230542412398</x:v>
      </x:c>
      <x:c r="J8" s="9" t="n">
        <x:v>12841</x:v>
      </x:c>
      <x:c r="K8" s="11" t="n">
        <x:f>J8/C8</x:f>
        <x:v>0.8805458410477954</x:v>
      </x:c>
      <x:c r="L8" s="2"/>
      <x:c r="M8" s="2"/>
      <x:c r="N8" s="2"/>
    </x:row>
    <x:row r="9" ht="25" customHeight="1">
      <x:c r="B9" s="2" t="str">
        <x:v>최근 단발형</x:v>
      </x:c>
      <x:c r="C9" s="9" t="n">
        <x:v>15402</x:v>
      </x:c>
      <x:c r="D9" s="9" t="n">
        <x:v>5006</x:v>
      </x:c>
      <x:c r="E9" s="10" t="n">
        <x:f>D9/C9</x:f>
        <x:v>0.3250227243215167</x:v>
      </x:c>
      <x:c r="F9" s="9" t="n">
        <x:v>1862</x:v>
      </x:c>
      <x:c r="G9" s="10" t="n">
        <x:f>F9/C9</x:f>
        <x:v>0.12089339046877029</x:v>
      </x:c>
      <x:c r="H9" s="9" t="n">
        <x:v>11734</x:v>
      </x:c>
      <x:c r="I9" s="10" t="n">
        <x:f>H9/C9</x:f>
        <x:v>0.7618491105051292</x:v>
      </x:c>
      <x:c r="J9" s="9" t="n">
        <x:v>7647</x:v>
      </x:c>
      <x:c r="K9" s="11" t="n">
        <x:f>J9/C9</x:f>
        <x:v>0.4964939618231399</x:v>
      </x:c>
      <x:c r="L9" s="2"/>
      <x:c r="M9" s="2"/>
      <x:c r="N9" s="2"/>
    </x:row>
    <x:row r="10" ht="25" customHeight="1">
      <x:c r="B10" s="2" t="str">
        <x:v>멈춤-꾸준형</x:v>
      </x:c>
      <x:c r="C10" s="9" t="n">
        <x:v>3627</x:v>
      </x:c>
      <x:c r="D10" s="9" t="n">
        <x:v>1658</x:v>
      </x:c>
      <x:c r="E10" s="10" t="n">
        <x:f>D10/C10</x:f>
        <x:v>0.4571271022883926</x:v>
      </x:c>
      <x:c r="F10" s="9" t="n">
        <x:v>808</x:v>
      </x:c>
      <x:c r="G10" s="10" t="n">
        <x:f>F10/C10</x:f>
        <x:v>0.22277364212848083</x:v>
      </x:c>
      <x:c r="H10" s="9" t="n">
        <x:v>2207</x:v>
      </x:c>
      <x:c r="I10" s="10" t="n">
        <x:f>H10/C10</x:f>
        <x:v>0.6084918665563827</x:v>
      </x:c>
      <x:c r="J10" s="9" t="n">
        <x:v>2848</x:v>
      </x:c>
      <x:c r="K10" s="11" t="n">
        <x:f>J10/C10</x:f>
        <x:v>0.7852219465122691</x:v>
      </x:c>
      <x:c r="L10" s="2"/>
      <x:c r="M10" s="2"/>
      <x:c r="N10" s="2"/>
    </x:row>
    <x:row r="11" ht="25" customHeight="1">
      <x:c r="B11" s="2" t="str">
        <x:v>멈춤-몰입형</x:v>
      </x:c>
      <x:c r="C11" s="9" t="n">
        <x:v>9303</x:v>
      </x:c>
      <x:c r="D11" s="9" t="n">
        <x:v>2456</x:v>
      </x:c>
      <x:c r="E11" s="10" t="n">
        <x:f>D11/C11</x:f>
        <x:v>0.26400085993765454</x:v>
      </x:c>
      <x:c r="F11" s="9" t="n">
        <x:v>841</x:v>
      </x:c>
      <x:c r="G11" s="10" t="n">
        <x:f>F11/C11</x:f>
        <x:v>0.09040094593141997</x:v>
      </x:c>
      <x:c r="H11" s="9" t="n">
        <x:v>7313</x:v>
      </x:c>
      <x:c r="I11" s="10" t="n">
        <x:f>H11/C11</x:f>
        <x:v>0.7860905084381382</x:v>
      </x:c>
      <x:c r="J11" s="9" t="n">
        <x:v>3565</x:v>
      </x:c>
      <x:c r="K11" s="11" t="n">
        <x:f>J11/C11</x:f>
        <x:v>0.3832097172954961</x:v>
      </x:c>
      <x:c r="L11" s="2"/>
      <x:c r="M11" s="2"/>
      <x:c r="N11" s="2"/>
    </x:row>
    <x:row r="12" ht="25" customHeight="1">
      <x:c r="B12" s="2" t="str">
        <x:v>멈춤-저활동형</x:v>
      </x:c>
      <x:c r="C12" s="9" t="n">
        <x:v>30670</x:v>
      </x:c>
      <x:c r="D12" s="9" t="n">
        <x:v>5377</x:v>
      </x:c>
      <x:c r="E12" s="10" t="n">
        <x:f>D12/C12</x:f>
        <x:v>0.17531790022823607</x:v>
      </x:c>
      <x:c r="F12" s="9" t="n">
        <x:v>1430</x:v>
      </x:c>
      <x:c r="G12" s="10" t="n">
        <x:f>F12/C12</x:f>
        <x:v>0.046625366807955655</x:v>
      </x:c>
      <x:c r="H12" s="9" t="n">
        <x:v>26396</x:v>
      </x:c>
      <x:c r="I12" s="10" t="n">
        <x:f>H12/C12</x:f>
        <x:v>0.8606455820019563</x:v>
      </x:c>
      <x:c r="J12" s="9" t="n">
        <x:v>7224</x:v>
      </x:c>
      <x:c r="K12" s="11" t="n">
        <x:f>J12/C12</x:f>
        <x:v>0.23553961525921097</x:v>
      </x:c>
      <x:c r="L12" s="2"/>
      <x:c r="M12" s="2"/>
      <x:c r="N12" s="2"/>
    </x:row>
    <x:row r="13" ht="25" customHeight="1">
      <x:c r="B13" s="16" t="str">
        <x:v>전체</x:v>
      </x:c>
      <x:c r="C13" s="17" t="n">
        <x:f>SUM(C7:C12)</x:f>
        <x:v>82467</x:v>
      </x:c>
      <x:c r="D13" s="17" t="n">
        <x:f>SUM(D7:D12)</x:f>
        <x:v>29240</x:v>
      </x:c>
      <x:c r="E13" s="18" t="n">
        <x:f>D13/C13</x:f>
        <x:v>0.35456606885178316</x:v>
      </x:c>
      <x:c r="F13" s="17" t="n">
        <x:f>SUM(F7:F12)</x:f>
        <x:v>13466</x:v>
      </x:c>
      <x:c r="G13" s="18" t="n">
        <x:f>F13/C13</x:f>
        <x:v>0.16328955824754143</x:v>
      </x:c>
      <x:c r="H13" s="17" t="n">
        <x:f>SUM(H7:H12)</x:f>
        <x:v>58758</x:v>
      </x:c>
      <x:c r="I13" s="18" t="n">
        <x:f>H13/C13</x:f>
        <x:v>0.7125031830914184</x:v>
      </x:c>
      <x:c r="J13" s="17" t="n">
        <x:f>SUM(J7:J12)</x:f>
        <x:v>50239</x:v>
      </x:c>
      <x:c r="K13" s="19" t="n">
        <x:f>J13/C13</x:f>
        <x:v>0.6092012562600798</x:v>
      </x:c>
      <x:c r="L13" s="2"/>
      <x:c r="M13" s="2"/>
      <x:c r="N13" s="2"/>
    </x:row>
    <x:row r="14" ht="25" customHeight="1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5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5" customHeight="1">
      <x:c r="B16" s="20" t="str">
        <x:v>복귀 뒤 추가 학습 — 관측 기간이 확보된 복귀자만 분모에 포함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5" customHeight="1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43" customHeight="1">
      <x:c r="B18" s="8" t="str">
        <x:v>세그먼트</x:v>
      </x:c>
      <x:c r="C18" s="8" t="str">
        <x:v>D+1 관측
복귀자 수</x:v>
      </x:c>
      <x:c r="D18" s="8" t="str">
        <x:v>다음날
학습자 수</x:v>
      </x:c>
      <x:c r="E18" s="8" t="str">
        <x:v>다음날
재학습률</x:v>
      </x:c>
      <x:c r="F18" s="8" t="str">
        <x:v>D+2까지 관측
복귀자 수</x:v>
      </x:c>
      <x:c r="G18" s="8" t="str">
        <x:v>2일 내 추가
학습자 수</x:v>
      </x:c>
      <x:c r="H18" s="8" t="str">
        <x:v>2일 내 추가
학습률</x:v>
      </x:c>
      <x:c r="I18" s="2"/>
      <x:c r="J18" s="2"/>
      <x:c r="K18" s="2"/>
      <x:c r="L18" s="2"/>
      <x:c r="M18" s="2"/>
      <x:c r="N18" s="2"/>
    </x:row>
    <x:row r="19" ht="25" customHeight="1">
      <x:c r="B19" s="2" t="str">
        <x:v>꾸준형</x:v>
      </x:c>
      <x:c r="C19" s="9" t="n">
        <x:v>6552</x:v>
      </x:c>
      <x:c r="D19" s="9" t="n">
        <x:v>3424</x:v>
      </x:c>
      <x:c r="E19" s="10" t="n">
        <x:f>D19/C19</x:f>
        <x:v>0.5225885225885226</x:v>
      </x:c>
      <x:c r="F19" s="9" t="n">
        <x:v>5897</x:v>
      </x:c>
      <x:c r="G19" s="9" t="n">
        <x:v>4152</x:v>
      </x:c>
      <x:c r="H19" s="10" t="n">
        <x:f>G19/F19</x:f>
        <x:v>0.7040868238087163</x:v>
      </x:c>
      <x:c r="I19" s="2"/>
      <x:c r="J19" s="2"/>
      <x:c r="K19" s="2"/>
      <x:c r="L19" s="2"/>
      <x:c r="M19" s="2"/>
      <x:c r="N19" s="2"/>
    </x:row>
    <x:row r="20" ht="25" customHeight="1">
      <x:c r="B20" s="2" t="str">
        <x:v>습관 형성형</x:v>
      </x:c>
      <x:c r="C20" s="9" t="n">
        <x:v>6650</x:v>
      </x:c>
      <x:c r="D20" s="9" t="n">
        <x:v>2133</x:v>
      </x:c>
      <x:c r="E20" s="10" t="n">
        <x:f>D20/C20</x:f>
        <x:v>0.3207518796992481</x:v>
      </x:c>
      <x:c r="F20" s="9" t="n">
        <x:v>5679</x:v>
      </x:c>
      <x:c r="G20" s="9" t="n">
        <x:v>2704</x:v>
      </x:c>
      <x:c r="H20" s="10" t="n">
        <x:f>G20/F20</x:f>
        <x:v>0.476140165522099</x:v>
      </x:c>
      <x:c r="I20" s="2"/>
      <x:c r="J20" s="2"/>
      <x:c r="K20" s="2"/>
      <x:c r="L20" s="2"/>
      <x:c r="M20" s="2"/>
      <x:c r="N20" s="2"/>
    </x:row>
    <x:row r="21" ht="25" customHeight="1">
      <x:c r="B21" s="2" t="str">
        <x:v>최근 단발형</x:v>
      </x:c>
      <x:c r="C21" s="9" t="n">
        <x:v>4344</x:v>
      </x:c>
      <x:c r="D21" s="9" t="n">
        <x:v>1119</x:v>
      </x:c>
      <x:c r="E21" s="10" t="n">
        <x:f>D21/C21</x:f>
        <x:v>0.2575966850828729</x:v>
      </x:c>
      <x:c r="F21" s="9" t="n">
        <x:v>3677</x:v>
      </x:c>
      <x:c r="G21" s="9" t="n">
        <x:v>1406</x:v>
      </x:c>
      <x:c r="H21" s="10" t="n">
        <x:f>G21/F21</x:f>
        <x:v>0.3823769377209682</x:v>
      </x:c>
      <x:c r="I21" s="2"/>
      <x:c r="J21" s="2"/>
      <x:c r="K21" s="2"/>
      <x:c r="L21" s="2"/>
      <x:c r="M21" s="2"/>
      <x:c r="N21" s="2"/>
    </x:row>
    <x:row r="22" ht="25" customHeight="1">
      <x:c r="B22" s="2" t="str">
        <x:v>멈춤-꾸준형</x:v>
      </x:c>
      <x:c r="C22" s="9" t="n">
        <x:v>1425</x:v>
      </x:c>
      <x:c r="D22" s="9" t="n">
        <x:v>539</x:v>
      </x:c>
      <x:c r="E22" s="10" t="n">
        <x:f>D22/C22</x:f>
        <x:v>0.3782456140350877</x:v>
      </x:c>
      <x:c r="F22" s="9" t="n">
        <x:v>1158</x:v>
      </x:c>
      <x:c r="G22" s="9" t="n">
        <x:v>633</x:v>
      </x:c>
      <x:c r="H22" s="10" t="n">
        <x:f>G22/F22</x:f>
        <x:v>0.5466321243523317</x:v>
      </x:c>
      <x:c r="I22" s="2"/>
      <x:c r="J22" s="2"/>
      <x:c r="K22" s="2"/>
      <x:c r="L22" s="2"/>
      <x:c r="M22" s="2"/>
      <x:c r="N22" s="2"/>
    </x:row>
    <x:row r="23" ht="25" customHeight="1">
      <x:c r="B23" s="2" t="str">
        <x:v>멈춤-몰입형</x:v>
      </x:c>
      <x:c r="C23" s="9" t="n">
        <x:v>2010</x:v>
      </x:c>
      <x:c r="D23" s="9" t="n">
        <x:v>546</x:v>
      </x:c>
      <x:c r="E23" s="10" t="n">
        <x:f>D23/C23</x:f>
        <x:v>0.2716417910447761</x:v>
      </x:c>
      <x:c r="F23" s="9" t="n">
        <x:v>1526</x:v>
      </x:c>
      <x:c r="G23" s="9" t="n">
        <x:v>611</x:v>
      </x:c>
      <x:c r="H23" s="10" t="n">
        <x:f>G23/F23</x:f>
        <x:v>0.40039318479685454</x:v>
      </x:c>
      <x:c r="I23" s="2"/>
      <x:c r="J23" s="2"/>
      <x:c r="K23" s="2"/>
      <x:c r="L23" s="2"/>
      <x:c r="M23" s="2"/>
      <x:c r="N23" s="2"/>
    </x:row>
    <x:row r="24" ht="25" customHeight="1">
      <x:c r="B24" s="2" t="str">
        <x:v>멈춤-저활동형</x:v>
      </x:c>
      <x:c r="C24" s="9" t="n">
        <x:v>4333</x:v>
      </x:c>
      <x:c r="D24" s="9" t="n">
        <x:v>915</x:v>
      </x:c>
      <x:c r="E24" s="10" t="n">
        <x:f>D24/C24</x:f>
        <x:v>0.2111700900069236</x:v>
      </x:c>
      <x:c r="F24" s="9" t="n">
        <x:v>3150</x:v>
      </x:c>
      <x:c r="G24" s="9" t="n">
        <x:v>1032</x:v>
      </x:c>
      <x:c r="H24" s="10" t="n">
        <x:f>G24/F24</x:f>
        <x:v>0.32761904761904764</x:v>
      </x:c>
      <x:c r="I24" s="2"/>
      <x:c r="J24" s="2"/>
      <x:c r="K24" s="2"/>
      <x:c r="L24" s="2"/>
      <x:c r="M24" s="2"/>
      <x:c r="N24" s="2"/>
    </x:row>
    <x:row r="25" ht="25" customHeight="1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5" customHeight="1">
      <x:c r="B26" s="2" t="str">
        <x:v>다음날 비교: 첫 복귀 3/8~10. 2일 내 추가 학습: 첫 복귀 3/8~9만 포함.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5" customHeight="1">
      <x:c r="B27" s="2" t="str">
        <x:v>이 표는 복귀자 중 반복 학습 지표이며, 위 표의 전체 사용자 기준 비율과 분모가 다릅니다.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5" customHeight="1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5" customHeight="1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5" customHeight="1">
      <x:c r="B30" s="20" t="str">
        <x:v>추적 종료 시 관측된 학습 양상 — 서로 겹치지 않는 4개 상태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5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43" customHeight="1">
      <x:c r="B32" s="8" t="str">
        <x:v>세그먼트</x:v>
      </x:c>
      <x:c r="C32" s="8" t="str">
        <x:v>대상 인원</x:v>
      </x:c>
      <x:c r="D32" s="8" t="str">
        <x:v>관측기간
미복귀</x:v>
      </x:c>
      <x:c r="E32" s="8" t="str">
        <x:v>1회 복귀 후
3일 비활동</x:v>
      </x:c>
      <x:c r="F32" s="8" t="str">
        <x:v>1회 재학습
추적 종료</x:v>
      </x:c>
      <x:c r="G32" s="8" t="str">
        <x:v>2일 이상
재학습</x:v>
      </x:c>
      <x:c r="H32" s="2"/>
      <x:c r="I32" s="2"/>
      <x:c r="J32" s="2"/>
      <x:c r="K32" s="2"/>
      <x:c r="L32" s="2"/>
      <x:c r="M32" s="2"/>
      <x:c r="N32" s="2"/>
    </x:row>
    <x:row r="33" ht="25" customHeight="1">
      <x:c r="B33" s="2" t="str">
        <x:v>꾸준형</x:v>
      </x:c>
      <x:c r="C33" s="9" t="n">
        <x:v>8882</x:v>
      </x:c>
      <x:c r="D33" s="9" t="n">
        <x:v>1747</x:v>
      </x:c>
      <x:c r="E33" s="9" t="n">
        <x:v>812</x:v>
      </x:c>
      <x:c r="F33" s="9" t="n">
        <x:v>1360</x:v>
      </x:c>
      <x:c r="G33" s="9" t="n">
        <x:v>4963</x:v>
      </x:c>
      <x:c r="H33" s="2"/>
      <x:c r="I33" s="2"/>
      <x:c r="J33" s="2"/>
      <x:c r="K33" s="2"/>
      <x:c r="L33" s="2"/>
      <x:c r="M33" s="2"/>
      <x:c r="N33" s="2"/>
    </x:row>
    <x:row r="34" ht="25" customHeight="1">
      <x:c r="B34" s="2" t="str">
        <x:v>습관 형성형</x:v>
      </x:c>
      <x:c r="C34" s="9" t="n">
        <x:v>14583</x:v>
      </x:c>
      <x:c r="D34" s="9" t="n">
        <x:v>6975</x:v>
      </x:c>
      <x:c r="E34" s="9" t="n">
        <x:v>1574</x:v>
      </x:c>
      <x:c r="F34" s="9" t="n">
        <x:v>2472</x:v>
      </x:c>
      <x:c r="G34" s="9" t="n">
        <x:v>3562</x:v>
      </x:c>
      <x:c r="H34" s="2"/>
      <x:c r="I34" s="2"/>
      <x:c r="J34" s="2"/>
      <x:c r="K34" s="2"/>
      <x:c r="L34" s="2"/>
      <x:c r="M34" s="2"/>
      <x:c r="N34" s="2"/>
    </x:row>
    <x:row r="35" ht="25" customHeight="1">
      <x:c r="B35" s="2" t="str">
        <x:v>최근 단발형</x:v>
      </x:c>
      <x:c r="C35" s="9" t="n">
        <x:v>15402</x:v>
      </x:c>
      <x:c r="D35" s="9" t="n">
        <x:v>10396</x:v>
      </x:c>
      <x:c r="E35" s="9" t="n">
        <x:v>1338</x:v>
      </x:c>
      <x:c r="F35" s="9" t="n">
        <x:v>1806</x:v>
      </x:c>
      <x:c r="G35" s="9" t="n">
        <x:v>1862</x:v>
      </x:c>
      <x:c r="H35" s="2"/>
      <x:c r="I35" s="2"/>
      <x:c r="J35" s="2"/>
      <x:c r="K35" s="2"/>
      <x:c r="L35" s="2"/>
      <x:c r="M35" s="2"/>
      <x:c r="N35" s="2"/>
    </x:row>
    <x:row r="36" ht="25" customHeight="1">
      <x:c r="B36" s="2" t="str">
        <x:v>멈춤-꾸준형</x:v>
      </x:c>
      <x:c r="C36" s="9" t="n">
        <x:v>3627</x:v>
      </x:c>
      <x:c r="D36" s="9" t="n">
        <x:v>1969</x:v>
      </x:c>
      <x:c r="E36" s="9" t="n">
        <x:v>238</x:v>
      </x:c>
      <x:c r="F36" s="9" t="n">
        <x:v>612</x:v>
      </x:c>
      <x:c r="G36" s="9" t="n">
        <x:v>808</x:v>
      </x:c>
      <x:c r="H36" s="2"/>
      <x:c r="I36" s="2"/>
      <x:c r="J36" s="2"/>
      <x:c r="K36" s="2"/>
      <x:c r="L36" s="2"/>
      <x:c r="M36" s="2"/>
      <x:c r="N36" s="2"/>
    </x:row>
    <x:row r="37" ht="25" customHeight="1">
      <x:c r="B37" s="2" t="str">
        <x:v>멈춤-몰입형</x:v>
      </x:c>
      <x:c r="C37" s="9" t="n">
        <x:v>9303</x:v>
      </x:c>
      <x:c r="D37" s="9" t="n">
        <x:v>6847</x:v>
      </x:c>
      <x:c r="E37" s="9" t="n">
        <x:v>466</x:v>
      </x:c>
      <x:c r="F37" s="9" t="n">
        <x:v>1149</x:v>
      </x:c>
      <x:c r="G37" s="9" t="n">
        <x:v>841</x:v>
      </x:c>
      <x:c r="H37" s="2"/>
      <x:c r="I37" s="2"/>
      <x:c r="J37" s="2"/>
      <x:c r="K37" s="2"/>
      <x:c r="L37" s="2"/>
      <x:c r="M37" s="2"/>
      <x:c r="N37" s="2"/>
    </x:row>
    <x:row r="38" ht="25" customHeight="1">
      <x:c r="B38" s="2" t="str">
        <x:v>멈춤-저활동형</x:v>
      </x:c>
      <x:c r="C38" s="9" t="n">
        <x:v>30670</x:v>
      </x:c>
      <x:c r="D38" s="9" t="n">
        <x:v>25293</x:v>
      </x:c>
      <x:c r="E38" s="9" t="n">
        <x:v>1103</x:v>
      </x:c>
      <x:c r="F38" s="9" t="n">
        <x:v>2844</x:v>
      </x:c>
      <x:c r="G38" s="9" t="n">
        <x:v>1430</x:v>
      </x:c>
      <x:c r="H38" s="2"/>
      <x:c r="I38" s="2"/>
      <x:c r="J38" s="2"/>
      <x:c r="K38" s="2"/>
      <x:c r="L38" s="2"/>
      <x:c r="M38" s="2"/>
      <x:c r="N38" s="2"/>
    </x:row>
    <x:row r="39" ht="2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5" customHeight="1">
      <x:c r="B41" s="2" t="str">
        <x:v>미활동은 관측된 학습 기록 부재입니다. 3일 기준으로 장기 이탈을 확정하지 않습니다.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5" customHeight="1">
      <x:c r="B42" s="2" t="str">
        <x:v>단기 반복 학습의 관측 결과이며, 7일 중 4일 학습 NSM이나 마케팅 개입 효과와 구분합니다.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5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5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5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5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5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5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5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5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5" customHeight="1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5" customHeight="1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5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5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5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5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5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5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5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5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5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5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5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5" customHeight="1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5" customHeight="1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5" customHeight="1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5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5" customHeight="1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 ht="25" customHeight="1">
      <x:c r="B2" s="3" t="str">
        <x:v>시점별 재학습·반복 학습·비활동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5" customHeight="1">
      <x:c r="B4" s="2" t="str">
        <x:v>모든 비율은 각 세그먼트의 고정 인원 기준. 2일·3일 비활동 기준을 함께 확인.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3" customHeight="1">
      <x:c r="B6" s="8" t="str">
        <x:v>세그먼트</x:v>
      </x:c>
      <x:c r="C6" s="8" t="str">
        <x:v>날짜</x:v>
      </x:c>
      <x:c r="D6" s="8" t="str">
        <x:v>대상 인원</x:v>
      </x:c>
      <x:c r="E6" s="8" t="str">
        <x:v>당일
학습 인원</x:v>
      </x:c>
      <x:c r="F6" s="8" t="str">
        <x:v>당일
학습률</x:v>
      </x:c>
      <x:c r="G6" s="8" t="str">
        <x:v>누적 1회
학습 인원</x:v>
      </x:c>
      <x:c r="H6" s="8" t="str">
        <x:v>누적
재학습률</x:v>
      </x:c>
      <x:c r="I6" s="8" t="str">
        <x:v>누적 2일
학습 인원</x:v>
      </x:c>
      <x:c r="J6" s="8" t="str">
        <x:v>누적 반복
학습률</x:v>
      </x:c>
      <x:c r="K6" s="8" t="str">
        <x:v>3일 비활동
인원</x:v>
      </x:c>
      <x:c r="L6" s="8" t="str">
        <x:v>3일 비활동
비율</x:v>
      </x:c>
      <x:c r="M6" s="8" t="str">
        <x:v>2일 비활동
인원</x:v>
      </x:c>
      <x:c r="N6" s="8" t="str">
        <x:v>2일 비활동
비율</x:v>
      </x:c>
    </x:row>
    <x:row r="7" ht="25" customHeight="1">
      <x:c r="B7" s="2" t="str">
        <x:v>꾸준형</x:v>
      </x:c>
      <x:c r="C7" s="21" t="d">
        <x:v>2013-03-08T00:00:00.000Z</x:v>
      </x:c>
      <x:c r="D7" s="9" t="n">
        <x:v>8882</x:v>
      </x:c>
      <x:c r="E7" s="9" t="n">
        <x:v>4602</x:v>
      </x:c>
      <x:c r="F7" s="10" t="n">
        <x:f>E7/D7</x:f>
        <x:v>0.5181265480747579</x:v>
      </x:c>
      <x:c r="G7" s="9" t="n">
        <x:v>4602</x:v>
      </x:c>
      <x:c r="H7" s="10" t="n">
        <x:f>G7/D7</x:f>
        <x:v>0.5181265480747579</x:v>
      </x:c>
      <x:c r="I7" s="9" t="n">
        <x:v>0</x:v>
      </x:c>
      <x:c r="J7" s="10" t="n">
        <x:f>I7/D7</x:f>
        <x:v>0</x:v>
      </x:c>
      <x:c r="K7" s="9" t="n">
        <x:v>0</x:v>
      </x:c>
      <x:c r="L7" s="10" t="n">
        <x:f>K7/D7</x:f>
        <x:v>0</x:v>
      </x:c>
      <x:c r="M7" s="9" t="n">
        <x:v>1286</x:v>
      </x:c>
      <x:c r="N7" s="10" t="n">
        <x:f>M7/D7</x:f>
        <x:v>0.14478721008781806</x:v>
      </x:c>
    </x:row>
    <x:row r="8" ht="25" customHeight="1">
      <x:c r="B8" s="2" t="str">
        <x:v>꾸준형</x:v>
      </x:c>
      <x:c r="C8" s="21" t="d">
        <x:v>2013-03-09T00:00:00.000Z</x:v>
      </x:c>
      <x:c r="D8" s="9" t="n">
        <x:v>8882</x:v>
      </x:c>
      <x:c r="E8" s="9" t="n">
        <x:v>3813</x:v>
      </x:c>
      <x:c r="F8" s="10" t="n">
        <x:f>E8/D8</x:f>
        <x:v>0.4292952037829318</x:v>
      </x:c>
      <x:c r="G8" s="9" t="n">
        <x:v>5897</x:v>
      </x:c>
      <x:c r="H8" s="10" t="n">
        <x:f>G8/D8</x:f>
        <x:v>0.6639270434586805</x:v>
      </x:c>
      <x:c r="I8" s="9" t="n">
        <x:v>2518</x:v>
      </x:c>
      <x:c r="J8" s="10" t="n">
        <x:f>I8/D8</x:f>
        <x:v>0.28349470839900925</x:v>
      </x:c>
      <x:c r="K8" s="9" t="n">
        <x:v>995</x:v>
      </x:c>
      <x:c r="L8" s="10" t="n">
        <x:f>K8/D8</x:f>
        <x:v>0.11202431884710651</x:v>
      </x:c>
      <x:c r="M8" s="9" t="n">
        <x:v>2985</x:v>
      </x:c>
      <x:c r="N8" s="10" t="n">
        <x:f>M8/D8</x:f>
        <x:v>0.3360729565413195</x:v>
      </x:c>
    </x:row>
    <x:row r="9" ht="25" customHeight="1">
      <x:c r="B9" s="2" t="str">
        <x:v>꾸준형</x:v>
      </x:c>
      <x:c r="C9" s="21" t="d">
        <x:v>2013-03-10T00:00:00.000Z</x:v>
      </x:c>
      <x:c r="D9" s="9" t="n">
        <x:v>8882</x:v>
      </x:c>
      <x:c r="E9" s="9" t="n">
        <x:v>3656</x:v>
      </x:c>
      <x:c r="F9" s="10" t="n">
        <x:f>E9/D9</x:f>
        <x:v>0.4116190047286647</x:v>
      </x:c>
      <x:c r="G9" s="9" t="n">
        <x:v>6552</x:v>
      </x:c>
      <x:c r="H9" s="10" t="n">
        <x:f>G9/D9</x:f>
        <x:v>0.7376716955640622</x:v>
      </x:c>
      <x:c r="I9" s="9" t="n">
        <x:v>3885</x:v>
      </x:c>
      <x:c r="J9" s="10" t="n">
        <x:f>I9/D9</x:f>
        <x:v>0.4374014861517676</x:v>
      </x:c>
      <x:c r="K9" s="9" t="n">
        <x:v>2330</x:v>
      </x:c>
      <x:c r="L9" s="10" t="n">
        <x:f>K9/D9</x:f>
        <x:v>0.26232830443593785</x:v>
      </x:c>
      <x:c r="M9" s="9" t="n">
        <x:v>3682</x:v>
      </x:c>
      <x:c r="N9" s="10" t="n">
        <x:f>M9/D9</x:f>
        <x:v>0.41454627336185546</x:v>
      </x:c>
    </x:row>
    <x:row r="10" ht="25" customHeight="1">
      <x:c r="B10" s="2" t="str">
        <x:v>꾸준형</x:v>
      </x:c>
      <x:c r="C10" s="21" t="d">
        <x:v>2013-03-11T00:00:00.000Z</x:v>
      </x:c>
      <x:c r="D10" s="9" t="n">
        <x:v>8882</x:v>
      </x:c>
      <x:c r="E10" s="9" t="n">
        <x:v>4043</x:v>
      </x:c>
      <x:c r="F10" s="10" t="n">
        <x:f>E10/D10</x:f>
        <x:v>0.4551902724611574</x:v>
      </x:c>
      <x:c r="G10" s="9" t="n">
        <x:v>7135</x:v>
      </x:c>
      <x:c r="H10" s="10" t="n">
        <x:f>G10/D10</x:f>
        <x:v>0.803310065300608</x:v>
      </x:c>
      <x:c r="I10" s="9" t="n">
        <x:v>4963</x:v>
      </x:c>
      <x:c r="J10" s="10" t="n">
        <x:f>I10/D10</x:f>
        <x:v>0.5587705471740599</x:v>
      </x:c>
      <x:c r="K10" s="9" t="n">
        <x:v>2559</x:v>
      </x:c>
      <x:c r="L10" s="10" t="n">
        <x:f>K10/D10</x:f>
        <x:v>0.28811078585904076</x:v>
      </x:c>
      <x:c r="M10" s="9" t="n">
        <x:v>3370</x:v>
      </x:c>
      <x:c r="N10" s="10" t="n">
        <x:f>M10/D10</x:f>
        <x:v>0.3794190497635668</x:v>
      </x:c>
    </x:row>
    <x:row r="11" ht="25" customHeight="1">
      <x:c r="B11" s="2" t="str">
        <x:v>습관 형성형</x:v>
      </x:c>
      <x:c r="C11" s="21" t="d">
        <x:v>2013-03-08T00:00:00.000Z</x:v>
      </x:c>
      <x:c r="D11" s="9" t="n">
        <x:v>14583</x:v>
      </x:c>
      <x:c r="E11" s="9" t="n">
        <x:v>4106</x:v>
      </x:c>
      <x:c r="F11" s="10" t="n">
        <x:f>E11/D11</x:f>
        <x:v>0.28156072138791743</x:v>
      </x:c>
      <x:c r="G11" s="9" t="n">
        <x:v>4106</x:v>
      </x:c>
      <x:c r="H11" s="10" t="n">
        <x:f>G11/D11</x:f>
        <x:v>0.28156072138791743</x:v>
      </x:c>
      <x:c r="I11" s="9" t="n">
        <x:v>0</x:v>
      </x:c>
      <x:c r="J11" s="10" t="n">
        <x:f>I11/D11</x:f>
        <x:v>0</x:v>
      </x:c>
      <x:c r="K11" s="9" t="n">
        <x:v>0</x:v>
      </x:c>
      <x:c r="L11" s="10" t="n">
        <x:f>K11/D11</x:f>
        <x:v>0</x:v>
      </x:c>
      <x:c r="M11" s="9" t="n">
        <x:v>4675</x:v>
      </x:c>
      <x:c r="N11" s="10" t="n">
        <x:f>M11/D11</x:f>
        <x:v>0.3205787560858534</x:v>
      </x:c>
    </x:row>
    <x:row r="12" ht="25" customHeight="1">
      <x:c r="B12" s="2" t="str">
        <x:v>습관 형성형</x:v>
      </x:c>
      <x:c r="C12" s="21" t="d">
        <x:v>2013-03-09T00:00:00.000Z</x:v>
      </x:c>
      <x:c r="D12" s="9" t="n">
        <x:v>14583</x:v>
      </x:c>
      <x:c r="E12" s="9" t="n">
        <x:v>2939</x:v>
      </x:c>
      <x:c r="F12" s="10" t="n">
        <x:f>E12/D12</x:f>
        <x:v>0.20153603510937393</x:v>
      </x:c>
      <x:c r="G12" s="9" t="n">
        <x:v>5679</x:v>
      </x:c>
      <x:c r="H12" s="10" t="n">
        <x:f>G12/D12</x:f>
        <x:v>0.3894260440238634</x:v>
      </x:c>
      <x:c r="I12" s="9" t="n">
        <x:v>1366</x:v>
      </x:c>
      <x:c r="J12" s="10" t="n">
        <x:f>I12/D12</x:f>
        <x:v>0.09367071247342797</x:v>
      </x:c>
      <x:c r="K12" s="9" t="n">
        <x:v>4064</x:v>
      </x:c>
      <x:c r="L12" s="10" t="n">
        <x:f>K12/D12</x:f>
        <x:v>0.27868065555784133</x:v>
      </x:c>
      <x:c r="M12" s="9" t="n">
        <x:v>8904</x:v>
      </x:c>
      <x:c r="N12" s="10" t="n">
        <x:f>M12/D12</x:f>
        <x:v>0.6105739559761366</x:v>
      </x:c>
    </x:row>
    <x:row r="13" ht="25" customHeight="1">
      <x:c r="B13" s="2" t="str">
        <x:v>습관 형성형</x:v>
      </x:c>
      <x:c r="C13" s="21" t="d">
        <x:v>2013-03-10T00:00:00.000Z</x:v>
      </x:c>
      <x:c r="D13" s="9" t="n">
        <x:v>14583</x:v>
      </x:c>
      <x:c r="E13" s="9" t="n">
        <x:v>2664</x:v>
      </x:c>
      <x:c r="F13" s="10" t="n">
        <x:f>E13/D13</x:f>
        <x:v>0.1826784612219708</x:v>
      </x:c>
      <x:c r="G13" s="9" t="n">
        <x:v>6650</x:v>
      </x:c>
      <x:c r="H13" s="10" t="n">
        <x:f>G13/D13</x:f>
        <x:v>0.45601042309538503</x:v>
      </x:c>
      <x:c r="I13" s="9" t="n">
        <x:v>2441</x:v>
      </x:c>
      <x:c r="J13" s="10" t="n">
        <x:f>I13/D13</x:f>
        <x:v>0.1673866831241857</x:v>
      </x:c>
      <x:c r="K13" s="9" t="n">
        <x:v>7933</x:v>
      </x:c>
      <x:c r="L13" s="10" t="n">
        <x:f>K13/D13</x:f>
        <x:v>0.5439895769046149</x:v>
      </x:c>
      <x:c r="M13" s="9" t="n">
        <x:v>10098</x:v>
      </x:c>
      <x:c r="N13" s="10" t="n">
        <x:f>M13/D13</x:f>
        <x:v>0.6924501131454434</x:v>
      </x:c>
    </x:row>
    <x:row r="14" ht="25" customHeight="1">
      <x:c r="B14" s="2" t="str">
        <x:v>습관 형성형</x:v>
      </x:c>
      <x:c r="C14" s="21" t="d">
        <x:v>2013-03-11T00:00:00.000Z</x:v>
      </x:c>
      <x:c r="D14" s="9" t="n">
        <x:v>14583</x:v>
      </x:c>
      <x:c r="E14" s="9" t="n">
        <x:v>3132</x:v>
      </x:c>
      <x:c r="F14" s="10" t="n">
        <x:f>E14/D14</x:f>
        <x:v>0.21477062332853322</x:v>
      </x:c>
      <x:c r="G14" s="9" t="n">
        <x:v>7608</x:v>
      </x:c>
      <x:c r="H14" s="10" t="n">
        <x:f>G14/D14</x:f>
        <x:v>0.5217033532195021</x:v>
      </x:c>
      <x:c r="I14" s="9" t="n">
        <x:v>3562</x:v>
      </x:c>
      <x:c r="J14" s="10" t="n">
        <x:f>I14/D14</x:f>
        <x:v>0.2442570115888363</x:v>
      </x:c>
      <x:c r="K14" s="9" t="n">
        <x:v>8549</x:v>
      </x:c>
      <x:c r="L14" s="10" t="n">
        <x:f>K14/D14</x:f>
        <x:v>0.586230542412398</x:v>
      </x:c>
      <x:c r="M14" s="9" t="n">
        <x:v>9830</x:v>
      </x:c>
      <x:c r="N14" s="10" t="n">
        <x:f>M14/D14</x:f>
        <x:v>0.6740725502297196</x:v>
      </x:c>
    </x:row>
    <x:row r="15" ht="25" customHeight="1">
      <x:c r="B15" s="2" t="str">
        <x:v>최근 단발형</x:v>
      </x:c>
      <x:c r="C15" s="21" t="d">
        <x:v>2013-03-08T00:00:00.000Z</x:v>
      </x:c>
      <x:c r="D15" s="9" t="n">
        <x:v>15402</x:v>
      </x:c>
      <x:c r="E15" s="9" t="n">
        <x:v>2636</x:v>
      </x:c>
      <x:c r="F15" s="10" t="n">
        <x:f>E15/D15</x:f>
        <x:v>0.17114660433709908</x:v>
      </x:c>
      <x:c r="G15" s="9" t="n">
        <x:v>2636</x:v>
      </x:c>
      <x:c r="H15" s="10" t="n">
        <x:f>G15/D15</x:f>
        <x:v>0.17114660433709908</x:v>
      </x:c>
      <x:c r="I15" s="9" t="n">
        <x:v>0</x:v>
      </x:c>
      <x:c r="J15" s="10" t="n">
        <x:f>I15/D15</x:f>
        <x:v>0</x:v>
      </x:c>
      <x:c r="K15" s="9" t="n">
        <x:v>0</x:v>
      </x:c>
      <x:c r="L15" s="10" t="n">
        <x:f>K15/D15</x:f>
        <x:v>0</x:v>
      </x:c>
      <x:c r="M15" s="9" t="n">
        <x:v>6117</x:v>
      </x:c>
      <x:c r="N15" s="10" t="n">
        <x:f>M15/D15</x:f>
        <x:v>0.397156213478769</x:v>
      </x:c>
    </x:row>
    <x:row r="16" ht="25" customHeight="1">
      <x:c r="B16" s="2" t="str">
        <x:v>최근 단발형</x:v>
      </x:c>
      <x:c r="C16" s="21" t="d">
        <x:v>2013-03-09T00:00:00.000Z</x:v>
      </x:c>
      <x:c r="D16" s="9" t="n">
        <x:v>15402</x:v>
      </x:c>
      <x:c r="E16" s="9" t="n">
        <x:v>1749</x:v>
      </x:c>
      <x:c r="F16" s="10" t="n">
        <x:f>E16/D16</x:f>
        <x:v>0.1135566809505259</x:v>
      </x:c>
      <x:c r="G16" s="9" t="n">
        <x:v>3677</x:v>
      </x:c>
      <x:c r="H16" s="10" t="n">
        <x:f>G16/D16</x:f>
        <x:v>0.23873522919101414</x:v>
      </x:c>
      <x:c r="I16" s="9" t="n">
        <x:v>708</x:v>
      </x:c>
      <x:c r="J16" s="10" t="n">
        <x:f>I16/D16</x:f>
        <x:v>0.04596805609661083</x:v>
      </x:c>
      <x:c r="K16" s="9" t="n">
        <x:v>5733</x:v>
      </x:c>
      <x:c r="L16" s="10" t="n">
        <x:f>K16/D16</x:f>
        <x:v>0.37222438644331907</x:v>
      </x:c>
      <x:c r="M16" s="9" t="n">
        <x:v>11725</x:v>
      </x:c>
      <x:c r="N16" s="10" t="n">
        <x:f>M16/D16</x:f>
        <x:v>0.7612647708089858</x:v>
      </x:c>
    </x:row>
    <x:row r="17" ht="25" customHeight="1">
      <x:c r="B17" s="2" t="str">
        <x:v>최근 단발형</x:v>
      </x:c>
      <x:c r="C17" s="21" t="d">
        <x:v>2013-03-10T00:00:00.000Z</x:v>
      </x:c>
      <x:c r="D17" s="9" t="n">
        <x:v>15402</x:v>
      </x:c>
      <x:c r="E17" s="9" t="n">
        <x:v>1500</x:v>
      </x:c>
      <x:c r="F17" s="10" t="n">
        <x:f>E17/D17</x:f>
        <x:v>0.09738994935722634</x:v>
      </x:c>
      <x:c r="G17" s="9" t="n">
        <x:v>4344</x:v>
      </x:c>
      <x:c r="H17" s="10" t="n">
        <x:f>G17/D17</x:f>
        <x:v>0.28204129333852745</x:v>
      </x:c>
      <x:c r="I17" s="9" t="n">
        <x:v>1253</x:v>
      </x:c>
      <x:c r="J17" s="10" t="n">
        <x:f>I17/D17</x:f>
        <x:v>0.08135307102973639</x:v>
      </x:c>
      <x:c r="K17" s="9" t="n">
        <x:v>11058</x:v>
      </x:c>
      <x:c r="L17" s="10" t="n">
        <x:f>K17/D17</x:f>
        <x:v>0.7179587066614725</x:v>
      </x:c>
      <x:c r="M17" s="9" t="n">
        <x:v>12688</x:v>
      </x:c>
      <x:c r="N17" s="10" t="n">
        <x:f>M17/D17</x:f>
        <x:v>0.8237891182963252</x:v>
      </x:c>
    </x:row>
    <x:row r="18" ht="25" customHeight="1">
      <x:c r="B18" s="2" t="str">
        <x:v>최근 단발형</x:v>
      </x:c>
      <x:c r="C18" s="21" t="d">
        <x:v>2013-03-11T00:00:00.000Z</x:v>
      </x:c>
      <x:c r="D18" s="9" t="n">
        <x:v>15402</x:v>
      </x:c>
      <x:c r="E18" s="9" t="n">
        <x:v>1762</x:v>
      </x:c>
      <x:c r="F18" s="10" t="n">
        <x:f>E18/D18</x:f>
        <x:v>0.11440072717828853</x:v>
      </x:c>
      <x:c r="G18" s="9" t="n">
        <x:v>5006</x:v>
      </x:c>
      <x:c r="H18" s="10" t="n">
        <x:f>G18/D18</x:f>
        <x:v>0.3250227243215167</x:v>
      </x:c>
      <x:c r="I18" s="9" t="n">
        <x:v>1862</x:v>
      </x:c>
      <x:c r="J18" s="10" t="n">
        <x:f>I18/D18</x:f>
        <x:v>0.12089339046877029</x:v>
      </x:c>
      <x:c r="K18" s="9" t="n">
        <x:v>11734</x:v>
      </x:c>
      <x:c r="L18" s="10" t="n">
        <x:f>K18/D18</x:f>
        <x:v>0.7618491105051292</x:v>
      </x:c>
      <x:c r="M18" s="9" t="n">
        <x:v>12656</x:v>
      </x:c>
      <x:c r="N18" s="10" t="n">
        <x:f>M18/D18</x:f>
        <x:v>0.821711466043371</x:v>
      </x:c>
    </x:row>
    <x:row r="19" ht="25" customHeight="1">
      <x:c r="B19" s="2" t="str">
        <x:v>멈춤-꾸준형</x:v>
      </x:c>
      <x:c r="C19" s="21" t="d">
        <x:v>2013-03-08T00:00:00.000Z</x:v>
      </x:c>
      <x:c r="D19" s="9" t="n">
        <x:v>3627</x:v>
      </x:c>
      <x:c r="E19" s="9" t="n">
        <x:v>732</x:v>
      </x:c>
      <x:c r="F19" s="10" t="n">
        <x:f>E19/D19</x:f>
        <x:v>0.20181968569065342</x:v>
      </x:c>
      <x:c r="G19" s="9" t="n">
        <x:v>732</x:v>
      </x:c>
      <x:c r="H19" s="10" t="n">
        <x:f>G19/D19</x:f>
        <x:v>0.20181968569065342</x:v>
      </x:c>
      <x:c r="I19" s="9" t="n">
        <x:v>0</x:v>
      </x:c>
      <x:c r="J19" s="10" t="n">
        <x:f>I19/D19</x:f>
        <x:v>0</x:v>
      </x:c>
      <x:c r="K19" s="9" t="n">
        <x:v>2895</x:v>
      </x:c>
      <x:c r="L19" s="10" t="n">
        <x:f>K19/D19</x:f>
        <x:v>0.7981803143093466</x:v>
      </x:c>
      <x:c r="M19" s="9" t="n">
        <x:v>2895</x:v>
      </x:c>
      <x:c r="N19" s="10" t="n">
        <x:f>M19/D19</x:f>
        <x:v>0.7981803143093466</x:v>
      </x:c>
    </x:row>
    <x:row r="20" ht="25" customHeight="1">
      <x:c r="B20" s="2" t="str">
        <x:v>멈춤-꾸준형</x:v>
      </x:c>
      <x:c r="C20" s="21" t="d">
        <x:v>2013-03-09T00:00:00.000Z</x:v>
      </x:c>
      <x:c r="D20" s="9" t="n">
        <x:v>3627</x:v>
      </x:c>
      <x:c r="E20" s="9" t="n">
        <x:v>717</x:v>
      </x:c>
      <x:c r="F20" s="10" t="n">
        <x:f>E20/D20</x:f>
        <x:v>0.19768403639371382</x:v>
      </x:c>
      <x:c r="G20" s="9" t="n">
        <x:v>1158</x:v>
      </x:c>
      <x:c r="H20" s="10" t="n">
        <x:f>G20/D20</x:f>
        <x:v>0.31927212572373864</x:v>
      </x:c>
      <x:c r="I20" s="9" t="n">
        <x:v>291</x:v>
      </x:c>
      <x:c r="J20" s="10" t="n">
        <x:f>I20/D20</x:f>
        <x:v>0.08023159636062861</x:v>
      </x:c>
      <x:c r="K20" s="9" t="n">
        <x:v>2469</x:v>
      </x:c>
      <x:c r="L20" s="10" t="n">
        <x:f>K20/D20</x:f>
        <x:v>0.6807278742762614</x:v>
      </x:c>
      <x:c r="M20" s="9" t="n">
        <x:v>2469</x:v>
      </x:c>
      <x:c r="N20" s="10" t="n">
        <x:f>M20/D20</x:f>
        <x:v>0.6807278742762614</x:v>
      </x:c>
    </x:row>
    <x:row r="21" ht="25" customHeight="1">
      <x:c r="B21" s="2" t="str">
        <x:v>멈춤-꾸준형</x:v>
      </x:c>
      <x:c r="C21" s="21" t="d">
        <x:v>2013-03-10T00:00:00.000Z</x:v>
      </x:c>
      <x:c r="D21" s="9" t="n">
        <x:v>3627</x:v>
      </x:c>
      <x:c r="E21" s="9" t="n">
        <x:v>685</x:v>
      </x:c>
      <x:c r="F21" s="10" t="n">
        <x:f>E21/D21</x:f>
        <x:v>0.18886131789357596</x:v>
      </x:c>
      <x:c r="G21" s="9" t="n">
        <x:v>1425</x:v>
      </x:c>
      <x:c r="H21" s="10" t="n">
        <x:f>G21/D21</x:f>
        <x:v>0.39288668320926384</x:v>
      </x:c>
      <x:c r="I21" s="9" t="n">
        <x:v>567</x:v>
      </x:c>
      <x:c r="J21" s="10" t="n">
        <x:f>I21/D21</x:f>
        <x:v>0.15632754342431762</x:v>
      </x:c>
      <x:c r="K21" s="9" t="n">
        <x:v>2202</x:v>
      </x:c>
      <x:c r="L21" s="10" t="n">
        <x:f>K21/D21</x:f>
        <x:v>0.6071133167907361</x:v>
      </x:c>
      <x:c r="M21" s="9" t="n">
        <x:v>2524</x:v>
      </x:c>
      <x:c r="N21" s="10" t="n">
        <x:f>M21/D21</x:f>
        <x:v>0.6958919216983733</x:v>
      </x:c>
    </x:row>
    <x:row r="22" ht="25" customHeight="1">
      <x:c r="B22" s="2" t="str">
        <x:v>멈춤-꾸준형</x:v>
      </x:c>
      <x:c r="C22" s="21" t="d">
        <x:v>2013-03-11T00:00:00.000Z</x:v>
      </x:c>
      <x:c r="D22" s="9" t="n">
        <x:v>3627</x:v>
      </x:c>
      <x:c r="E22" s="9" t="n">
        <x:v>714</x:v>
      </x:c>
      <x:c r="F22" s="10" t="n">
        <x:f>E22/D22</x:f>
        <x:v>0.1968569065343259</x:v>
      </x:c>
      <x:c r="G22" s="9" t="n">
        <x:v>1658</x:v>
      </x:c>
      <x:c r="H22" s="10" t="n">
        <x:f>G22/D22</x:f>
        <x:v>0.4571271022883926</x:v>
      </x:c>
      <x:c r="I22" s="9" t="n">
        <x:v>808</x:v>
      </x:c>
      <x:c r="J22" s="10" t="n">
        <x:f>I22/D22</x:f>
        <x:v>0.22277364212848083</x:v>
      </x:c>
      <x:c r="K22" s="9" t="n">
        <x:v>2207</x:v>
      </x:c>
      <x:c r="L22" s="10" t="n">
        <x:f>K22/D22</x:f>
        <x:v>0.6084918665563827</x:v>
      </x:c>
      <x:c r="M22" s="9" t="n">
        <x:v>2512</x:v>
      </x:c>
      <x:c r="N22" s="10" t="n">
        <x:f>M22/D22</x:f>
        <x:v>0.6925834022608216</x:v>
      </x:c>
    </x:row>
    <x:row r="23" ht="25" customHeight="1">
      <x:c r="B23" s="2" t="str">
        <x:v>멈춤-몰입형</x:v>
      </x:c>
      <x:c r="C23" s="21" t="d">
        <x:v>2013-03-08T00:00:00.000Z</x:v>
      </x:c>
      <x:c r="D23" s="9" t="n">
        <x:v>9303</x:v>
      </x:c>
      <x:c r="E23" s="9" t="n">
        <x:v>924</x:v>
      </x:c>
      <x:c r="F23" s="10" t="n">
        <x:f>E23/D23</x:f>
        <x:v>0.09932279909706546</x:v>
      </x:c>
      <x:c r="G23" s="9" t="n">
        <x:v>924</x:v>
      </x:c>
      <x:c r="H23" s="10" t="n">
        <x:f>G23/D23</x:f>
        <x:v>0.09932279909706546</x:v>
      </x:c>
      <x:c r="I23" s="9" t="n">
        <x:v>0</x:v>
      </x:c>
      <x:c r="J23" s="10" t="n">
        <x:f>I23/D23</x:f>
        <x:v>0</x:v>
      </x:c>
      <x:c r="K23" s="9" t="n">
        <x:v>8379</x:v>
      </x:c>
      <x:c r="L23" s="10" t="n">
        <x:f>K23/D23</x:f>
        <x:v>0.9006772009029346</x:v>
      </x:c>
      <x:c r="M23" s="9" t="n">
        <x:v>8379</x:v>
      </x:c>
      <x:c r="N23" s="10" t="n">
        <x:f>M23/D23</x:f>
        <x:v>0.9006772009029346</x:v>
      </x:c>
    </x:row>
    <x:row r="24" ht="25" customHeight="1">
      <x:c r="B24" s="2" t="str">
        <x:v>멈춤-몰입형</x:v>
      </x:c>
      <x:c r="C24" s="21" t="d">
        <x:v>2013-03-09T00:00:00.000Z</x:v>
      </x:c>
      <x:c r="D24" s="9" t="n">
        <x:v>9303</x:v>
      </x:c>
      <x:c r="E24" s="9" t="n">
        <x:v>842</x:v>
      </x:c>
      <x:c r="F24" s="10" t="n">
        <x:f>E24/D24</x:f>
        <x:v>0.09050843813823498</x:v>
      </x:c>
      <x:c r="G24" s="9" t="n">
        <x:v>1526</x:v>
      </x:c>
      <x:c r="H24" s="10" t="n">
        <x:f>G24/D24</x:f>
        <x:v>0.16403310759969902</x:v>
      </x:c>
      <x:c r="I24" s="9" t="n">
        <x:v>240</x:v>
      </x:c>
      <x:c r="J24" s="10" t="n">
        <x:f>I24/D24</x:f>
        <x:v>0.025798129635601418</x:v>
      </x:c>
      <x:c r="K24" s="9" t="n">
        <x:v>7777</x:v>
      </x:c>
      <x:c r="L24" s="10" t="n">
        <x:f>K24/D24</x:f>
        <x:v>0.835966892400301</x:v>
      </x:c>
      <x:c r="M24" s="9" t="n">
        <x:v>7777</x:v>
      </x:c>
      <x:c r="N24" s="10" t="n">
        <x:f>M24/D24</x:f>
        <x:v>0.835966892400301</x:v>
      </x:c>
    </x:row>
    <x:row r="25" ht="25" customHeight="1">
      <x:c r="B25" s="2" t="str">
        <x:v>멈춤-몰입형</x:v>
      </x:c>
      <x:c r="C25" s="21" t="d">
        <x:v>2013-03-10T00:00:00.000Z</x:v>
      </x:c>
      <x:c r="D25" s="9" t="n">
        <x:v>9303</x:v>
      </x:c>
      <x:c r="E25" s="9" t="n">
        <x:v>876</x:v>
      </x:c>
      <x:c r="F25" s="10" t="n">
        <x:f>E25/D25</x:f>
        <x:v>0.09416317316994519</x:v>
      </x:c>
      <x:c r="G25" s="9" t="n">
        <x:v>2010</x:v>
      </x:c>
      <x:c r="H25" s="10" t="n">
        <x:f>G25/D25</x:f>
        <x:v>0.21605933569816188</x:v>
      </x:c>
      <x:c r="I25" s="9" t="n">
        <x:v>534</x:v>
      </x:c>
      <x:c r="J25" s="10" t="n">
        <x:f>I25/D25</x:f>
        <x:v>0.057400838439213155</x:v>
      </x:c>
      <x:c r="K25" s="9" t="n">
        <x:v>7293</x:v>
      </x:c>
      <x:c r="L25" s="10" t="n">
        <x:f>K25/D25</x:f>
        <x:v>0.7839406643018381</x:v>
      </x:c>
      <x:c r="M25" s="9" t="n">
        <x:v>7861</x:v>
      </x:c>
      <x:c r="N25" s="10" t="n">
        <x:f>M25/D25</x:f>
        <x:v>0.8449962377727614</x:v>
      </x:c>
    </x:row>
    <x:row r="26" ht="25" customHeight="1">
      <x:c r="B26" s="2" t="str">
        <x:v>멈춤-몰입형</x:v>
      </x:c>
      <x:c r="C26" s="21" t="d">
        <x:v>2013-03-11T00:00:00.000Z</x:v>
      </x:c>
      <x:c r="D26" s="9" t="n">
        <x:v>9303</x:v>
      </x:c>
      <x:c r="E26" s="9" t="n">
        <x:v>923</x:v>
      </x:c>
      <x:c r="F26" s="10" t="n">
        <x:f>E26/D26</x:f>
        <x:v>0.09921530689025046</x:v>
      </x:c>
      <x:c r="G26" s="9" t="n">
        <x:v>2456</x:v>
      </x:c>
      <x:c r="H26" s="10" t="n">
        <x:f>G26/D26</x:f>
        <x:v>0.26400085993765454</x:v>
      </x:c>
      <x:c r="I26" s="9" t="n">
        <x:v>841</x:v>
      </x:c>
      <x:c r="J26" s="10" t="n">
        <x:f>I26/D26</x:f>
        <x:v>0.09040094593141997</x:v>
      </x:c>
      <x:c r="K26" s="9" t="n">
        <x:v>7313</x:v>
      </x:c>
      <x:c r="L26" s="10" t="n">
        <x:f>K26/D26</x:f>
        <x:v>0.7860905084381382</x:v>
      </x:c>
      <x:c r="M26" s="9" t="n">
        <x:v>7775</x:v>
      </x:c>
      <x:c r="N26" s="10" t="n">
        <x:f>M26/D26</x:f>
        <x:v>0.835751907986671</x:v>
      </x:c>
    </x:row>
    <x:row r="27" ht="25" customHeight="1">
      <x:c r="B27" s="2" t="str">
        <x:v>멈춤-저활동형</x:v>
      </x:c>
      <x:c r="C27" s="21" t="d">
        <x:v>2013-03-08T00:00:00.000Z</x:v>
      </x:c>
      <x:c r="D27" s="9" t="n">
        <x:v>30670</x:v>
      </x:c>
      <x:c r="E27" s="9" t="n">
        <x:v>1846</x:v>
      </x:c>
      <x:c r="F27" s="10" t="n">
        <x:f>E27/D27</x:f>
        <x:v>0.060189109879360936</x:v>
      </x:c>
      <x:c r="G27" s="9" t="n">
        <x:v>1846</x:v>
      </x:c>
      <x:c r="H27" s="10" t="n">
        <x:f>G27/D27</x:f>
        <x:v>0.060189109879360936</x:v>
      </x:c>
      <x:c r="I27" s="9" t="n">
        <x:v>0</x:v>
      </x:c>
      <x:c r="J27" s="10" t="n">
        <x:f>I27/D27</x:f>
        <x:v>0</x:v>
      </x:c>
      <x:c r="K27" s="9" t="n">
        <x:v>28824</x:v>
      </x:c>
      <x:c r="L27" s="10" t="n">
        <x:f>K27/D27</x:f>
        <x:v>0.939810890120639</x:v>
      </x:c>
      <x:c r="M27" s="9" t="n">
        <x:v>28824</x:v>
      </x:c>
      <x:c r="N27" s="10" t="n">
        <x:f>M27/D27</x:f>
        <x:v>0.939810890120639</x:v>
      </x:c>
    </x:row>
    <x:row r="28" ht="25" customHeight="1">
      <x:c r="B28" s="2" t="str">
        <x:v>멈춤-저활동형</x:v>
      </x:c>
      <x:c r="C28" s="21" t="d">
        <x:v>2013-03-09T00:00:00.000Z</x:v>
      </x:c>
      <x:c r="D28" s="9" t="n">
        <x:v>30670</x:v>
      </x:c>
      <x:c r="E28" s="9" t="n">
        <x:v>1656</x:v>
      </x:c>
      <x:c r="F28" s="10" t="n">
        <x:f>E28/D28</x:f>
        <x:v>0.053994131072709485</x:v>
      </x:c>
      <x:c r="G28" s="9" t="n">
        <x:v>3150</x:v>
      </x:c>
      <x:c r="H28" s="10" t="n">
        <x:f>G28/D28</x:f>
        <x:v>0.10270622758395827</x:v>
      </x:c>
      <x:c r="I28" s="9" t="n">
        <x:v>352</x:v>
      </x:c>
      <x:c r="J28" s="10" t="n">
        <x:f>I28/D28</x:f>
        <x:v>0.011477013368112162</x:v>
      </x:c>
      <x:c r="K28" s="9" t="n">
        <x:v>27520</x:v>
      </x:c>
      <x:c r="L28" s="10" t="n">
        <x:f>K28/D28</x:f>
        <x:v>0.8972937724160417</x:v>
      </x:c>
      <x:c r="M28" s="9" t="n">
        <x:v>27520</x:v>
      </x:c>
      <x:c r="N28" s="10" t="n">
        <x:f>M28/D28</x:f>
        <x:v>0.8972937724160417</x:v>
      </x:c>
    </x:row>
    <x:row r="29" ht="25" customHeight="1">
      <x:c r="B29" s="2" t="str">
        <x:v>멈춤-저활동형</x:v>
      </x:c>
      <x:c r="C29" s="21" t="d">
        <x:v>2013-03-10T00:00:00.000Z</x:v>
      </x:c>
      <x:c r="D29" s="9" t="n">
        <x:v>30670</x:v>
      </x:c>
      <x:c r="E29" s="9" t="n">
        <x:v>1871</x:v>
      </x:c>
      <x:c r="F29" s="10" t="n">
        <x:f>E29/D29</x:f>
        <x:v>0.06100423866970981</x:v>
      </x:c>
      <x:c r="G29" s="9" t="n">
        <x:v>4333</x:v>
      </x:c>
      <x:c r="H29" s="10" t="n">
        <x:f>G29/D29</x:f>
        <x:v>0.14127812194326703</x:v>
      </x:c>
      <x:c r="I29" s="9" t="n">
        <x:v>908</x:v>
      </x:c>
      <x:c r="J29" s="10" t="n">
        <x:f>I29/D29</x:f>
        <x:v>0.029605477665471145</x:v>
      </x:c>
      <x:c r="K29" s="9" t="n">
        <x:v>26337</x:v>
      </x:c>
      <x:c r="L29" s="10" t="n">
        <x:f>K29/D29</x:f>
        <x:v>0.858721878056733</x:v>
      </x:c>
      <x:c r="M29" s="9" t="n">
        <x:v>27615</x:v>
      </x:c>
      <x:c r="N29" s="10" t="n">
        <x:f>M29/D29</x:f>
        <x:v>0.9003912618193675</x:v>
      </x:c>
    </x:row>
    <x:row r="30" ht="25" customHeight="1">
      <x:c r="B30" s="2" t="str">
        <x:v>멈춤-저활동형</x:v>
      </x:c>
      <x:c r="C30" s="21" t="d">
        <x:v>2013-03-11T00:00:00.000Z</x:v>
      </x:c>
      <x:c r="D30" s="9" t="n">
        <x:v>30670</x:v>
      </x:c>
      <x:c r="E30" s="9" t="n">
        <x:v>1851</x:v>
      </x:c>
      <x:c r="F30" s="10" t="n">
        <x:f>E30/D30</x:f>
        <x:v>0.060352135637430714</x:v>
      </x:c>
      <x:c r="G30" s="9" t="n">
        <x:v>5377</x:v>
      </x:c>
      <x:c r="H30" s="10" t="n">
        <x:f>G30/D30</x:f>
        <x:v>0.17531790022823607</x:v>
      </x:c>
      <x:c r="I30" s="9" t="n">
        <x:v>1430</x:v>
      </x:c>
      <x:c r="J30" s="10" t="n">
        <x:f>I30/D30</x:f>
        <x:v>0.046625366807955655</x:v>
      </x:c>
      <x:c r="K30" s="9" t="n">
        <x:v>26396</x:v>
      </x:c>
      <x:c r="L30" s="10" t="n">
        <x:f>K30/D30</x:f>
        <x:v>0.8606455820019563</x:v>
      </x:c>
      <x:c r="M30" s="9" t="n">
        <x:v>27413</x:v>
      </x:c>
      <x:c r="N30" s="10" t="n">
        <x:f>M30/D30</x:f>
        <x:v>0.8938050211933486</x:v>
      </x:c>
    </x:row>
    <x:row r="31" ht="25" customHeight="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5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5" customHeight="1">
      <x:c r="B33" s="20" t="str">
        <x:v>3일 비활동 신호의 유입과 재학습 — 전일 신호 인원 + 신규 신호 − 재학습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5" customHeight="1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43" customHeight="1">
      <x:c r="B35" s="8" t="str">
        <x:v>세그먼트</x:v>
      </x:c>
      <x:c r="C35" s="8" t="str">
        <x:v>날짜</x:v>
      </x:c>
      <x:c r="D35" s="8" t="str">
        <x:v>대상 인원</x:v>
      </x:c>
      <x:c r="E35" s="8" t="str">
        <x:v>전일 종료
비활동 인원</x:v>
      </x:c>
      <x:c r="F35" s="8" t="str">
        <x:v>신규
비활동 인원</x:v>
      </x:c>
      <x:c r="G35" s="8" t="str">
        <x:v>비활동 후
재학습 인원</x:v>
      </x:c>
      <x:c r="H35" s="8" t="str">
        <x:v>당일 종료
비활동 인원</x:v>
      </x:c>
      <x:c r="I35" s="8" t="str">
        <x:v>비활동
비율</x:v>
      </x:c>
      <x:c r="J35" s="8" t="str">
        <x:v>전일 비활동자
재학습률</x:v>
      </x:c>
      <x:c r="K35" s="2"/>
      <x:c r="L35" s="2"/>
      <x:c r="M35" s="2"/>
      <x:c r="N35" s="2"/>
    </x:row>
    <x:row r="36" ht="25" customHeight="1">
      <x:c r="B36" s="2" t="str">
        <x:v>꾸준형</x:v>
      </x:c>
      <x:c r="C36" s="21" t="d">
        <x:v>2013-03-08T00:00:00.000Z</x:v>
      </x:c>
      <x:c r="D36" s="9" t="n">
        <x:v>8882</x:v>
      </x:c>
      <x:c r="E36" s="9" t="n">
        <x:v>0</x:v>
      </x:c>
      <x:c r="F36" s="9" t="n">
        <x:v>0</x:v>
      </x:c>
      <x:c r="G36" s="9" t="n">
        <x:v>0</x:v>
      </x:c>
      <x:c r="H36" s="9" t="n">
        <x:f>E36+F36-G36</x:f>
        <x:v>0</x:v>
      </x:c>
      <x:c r="I36" s="10" t="n">
        <x:f>H36/D36</x:f>
        <x:v>0</x:v>
      </x:c>
      <x:c r="J36" s="10" t="str">
        <x:f>IF(E36=0,"",G36/E36)</x:f>
      </x:c>
      <x:c r="K36" s="2"/>
      <x:c r="L36" s="2"/>
      <x:c r="M36" s="2"/>
      <x:c r="N36" s="2"/>
    </x:row>
    <x:row r="37" ht="25" customHeight="1">
      <x:c r="B37" s="2" t="str">
        <x:v>꾸준형</x:v>
      </x:c>
      <x:c r="C37" s="21" t="d">
        <x:v>2013-03-09T00:00:00.000Z</x:v>
      </x:c>
      <x:c r="D37" s="9" t="n">
        <x:v>8882</x:v>
      </x:c>
      <x:c r="E37" s="9" t="n">
        <x:v>0</x:v>
      </x:c>
      <x:c r="F37" s="9" t="n">
        <x:v>995</x:v>
      </x:c>
      <x:c r="G37" s="9" t="n">
        <x:v>0</x:v>
      </x:c>
      <x:c r="H37" s="9" t="n">
        <x:f>E37+F37-G37</x:f>
        <x:v>995</x:v>
      </x:c>
      <x:c r="I37" s="10" t="n">
        <x:f>H37/D37</x:f>
        <x:v>0.11202431884710651</x:v>
      </x:c>
      <x:c r="J37" s="10" t="str">
        <x:f>IF(E37=0,"",G37/E37)</x:f>
      </x:c>
      <x:c r="K37" s="2"/>
      <x:c r="L37" s="2"/>
      <x:c r="M37" s="2"/>
      <x:c r="N37" s="2"/>
    </x:row>
    <x:row r="38" ht="25" customHeight="1">
      <x:c r="B38" s="2" t="str">
        <x:v>꾸준형</x:v>
      </x:c>
      <x:c r="C38" s="21" t="d">
        <x:v>2013-03-10T00:00:00.000Z</x:v>
      </x:c>
      <x:c r="D38" s="9" t="n">
        <x:v>8882</x:v>
      </x:c>
      <x:c r="E38" s="9" t="n">
        <x:v>995</x:v>
      </x:c>
      <x:c r="F38" s="9" t="n">
        <x:v>1515</x:v>
      </x:c>
      <x:c r="G38" s="9" t="n">
        <x:v>180</x:v>
      </x:c>
      <x:c r="H38" s="9" t="n">
        <x:f>E38+F38-G38</x:f>
        <x:v>2330</x:v>
      </x:c>
      <x:c r="I38" s="10" t="n">
        <x:f>H38/D38</x:f>
        <x:v>0.26232830443593785</x:v>
      </x:c>
      <x:c r="J38" s="10" t="n">
        <x:f>IF(E38=0,"",G38/E38)</x:f>
        <x:v>0.18090452261306533</x:v>
      </x:c>
      <x:c r="K38" s="2"/>
      <x:c r="L38" s="2"/>
      <x:c r="M38" s="2"/>
      <x:c r="N38" s="2"/>
    </x:row>
    <x:row r="39" ht="25" customHeight="1">
      <x:c r="B39" s="2" t="str">
        <x:v>꾸준형</x:v>
      </x:c>
      <x:c r="C39" s="21" t="d">
        <x:v>2013-03-11T00:00:00.000Z</x:v>
      </x:c>
      <x:c r="D39" s="9" t="n">
        <x:v>8882</x:v>
      </x:c>
      <x:c r="E39" s="9" t="n">
        <x:v>2330</x:v>
      </x:c>
      <x:c r="F39" s="9" t="n">
        <x:v>812</x:v>
      </x:c>
      <x:c r="G39" s="9" t="n">
        <x:v>583</x:v>
      </x:c>
      <x:c r="H39" s="9" t="n">
        <x:f>E39+F39-G39</x:f>
        <x:v>2559</x:v>
      </x:c>
      <x:c r="I39" s="10" t="n">
        <x:f>H39/D39</x:f>
        <x:v>0.28811078585904076</x:v>
      </x:c>
      <x:c r="J39" s="10" t="n">
        <x:f>IF(E39=0,"",G39/E39)</x:f>
        <x:v>0.2502145922746781</x:v>
      </x:c>
      <x:c r="K39" s="2"/>
      <x:c r="L39" s="2"/>
      <x:c r="M39" s="2"/>
      <x:c r="N39" s="2"/>
    </x:row>
    <x:row r="40" ht="25" customHeight="1">
      <x:c r="B40" s="2" t="str">
        <x:v>습관 형성형</x:v>
      </x:c>
      <x:c r="C40" s="21" t="d">
        <x:v>2013-03-08T00:00:00.000Z</x:v>
      </x:c>
      <x:c r="D40" s="9" t="n">
        <x:v>14583</x:v>
      </x:c>
      <x:c r="E40" s="9" t="n">
        <x:v>0</x:v>
      </x:c>
      <x:c r="F40" s="9" t="n">
        <x:v>0</x:v>
      </x:c>
      <x:c r="G40" s="9" t="n">
        <x:v>0</x:v>
      </x:c>
      <x:c r="H40" s="9" t="n">
        <x:f>E40+F40-G40</x:f>
        <x:v>0</x:v>
      </x:c>
      <x:c r="I40" s="10" t="n">
        <x:f>H40/D40</x:f>
        <x:v>0</x:v>
      </x:c>
      <x:c r="J40" s="10" t="str">
        <x:f>IF(E40=0,"",G40/E40)</x:f>
      </x:c>
      <x:c r="K40" s="2"/>
      <x:c r="L40" s="2"/>
      <x:c r="M40" s="2"/>
      <x:c r="N40" s="2"/>
    </x:row>
    <x:row r="41" ht="25" customHeight="1">
      <x:c r="B41" s="2" t="str">
        <x:v>습관 형성형</x:v>
      </x:c>
      <x:c r="C41" s="21" t="d">
        <x:v>2013-03-09T00:00:00.000Z</x:v>
      </x:c>
      <x:c r="D41" s="9" t="n">
        <x:v>14583</x:v>
      </x:c>
      <x:c r="E41" s="9" t="n">
        <x:v>0</x:v>
      </x:c>
      <x:c r="F41" s="9" t="n">
        <x:v>4064</x:v>
      </x:c>
      <x:c r="G41" s="9" t="n">
        <x:v>0</x:v>
      </x:c>
      <x:c r="H41" s="9" t="n">
        <x:f>E41+F41-G41</x:f>
        <x:v>4064</x:v>
      </x:c>
      <x:c r="I41" s="10" t="n">
        <x:f>H41/D41</x:f>
        <x:v>0.27868065555784133</x:v>
      </x:c>
      <x:c r="J41" s="10" t="str">
        <x:f>IF(E41=0,"",G41/E41)</x:f>
      </x:c>
      <x:c r="K41" s="2"/>
      <x:c r="L41" s="2"/>
      <x:c r="M41" s="2"/>
      <x:c r="N41" s="2"/>
    </x:row>
    <x:row r="42" ht="25" customHeight="1">
      <x:c r="B42" s="2" t="str">
        <x:v>습관 형성형</x:v>
      </x:c>
      <x:c r="C42" s="21" t="d">
        <x:v>2013-03-10T00:00:00.000Z</x:v>
      </x:c>
      <x:c r="D42" s="9" t="n">
        <x:v>14583</x:v>
      </x:c>
      <x:c r="E42" s="9" t="n">
        <x:v>4064</x:v>
      </x:c>
      <x:c r="F42" s="9" t="n">
        <x:v>4264</x:v>
      </x:c>
      <x:c r="G42" s="9" t="n">
        <x:v>395</x:v>
      </x:c>
      <x:c r="H42" s="9" t="n">
        <x:f>E42+F42-G42</x:f>
        <x:v>7933</x:v>
      </x:c>
      <x:c r="I42" s="10" t="n">
        <x:f>H42/D42</x:f>
        <x:v>0.5439895769046149</x:v>
      </x:c>
      <x:c r="J42" s="10" t="n">
        <x:f>IF(E42=0,"",G42/E42)</x:f>
        <x:v>0.09719488188976377</x:v>
      </x:c>
      <x:c r="K42" s="2"/>
      <x:c r="L42" s="2"/>
      <x:c r="M42" s="2"/>
      <x:c r="N42" s="2"/>
    </x:row>
    <x:row r="43" ht="25" customHeight="1">
      <x:c r="B43" s="2" t="str">
        <x:v>습관 형성형</x:v>
      </x:c>
      <x:c r="C43" s="21" t="d">
        <x:v>2013-03-11T00:00:00.000Z</x:v>
      </x:c>
      <x:c r="D43" s="9" t="n">
        <x:v>14583</x:v>
      </x:c>
      <x:c r="E43" s="9" t="n">
        <x:v>7933</x:v>
      </x:c>
      <x:c r="F43" s="9" t="n">
        <x:v>1574</x:v>
      </x:c>
      <x:c r="G43" s="9" t="n">
        <x:v>958</x:v>
      </x:c>
      <x:c r="H43" s="9" t="n">
        <x:f>E43+F43-G43</x:f>
        <x:v>8549</x:v>
      </x:c>
      <x:c r="I43" s="10" t="n">
        <x:f>H43/D43</x:f>
        <x:v>0.586230542412398</x:v>
      </x:c>
      <x:c r="J43" s="10" t="n">
        <x:f>IF(E43=0,"",G43/E43)</x:f>
        <x:v>0.12076137652842557</x:v>
      </x:c>
      <x:c r="K43" s="2"/>
      <x:c r="L43" s="2"/>
      <x:c r="M43" s="2"/>
      <x:c r="N43" s="2"/>
    </x:row>
    <x:row r="44" ht="25" customHeight="1">
      <x:c r="B44" s="2" t="str">
        <x:v>최근 단발형</x:v>
      </x:c>
      <x:c r="C44" s="21" t="d">
        <x:v>2013-03-08T00:00:00.000Z</x:v>
      </x:c>
      <x:c r="D44" s="9" t="n">
        <x:v>15402</x:v>
      </x:c>
      <x:c r="E44" s="9" t="n">
        <x:v>0</x:v>
      </x:c>
      <x:c r="F44" s="9" t="n">
        <x:v>0</x:v>
      </x:c>
      <x:c r="G44" s="9" t="n">
        <x:v>0</x:v>
      </x:c>
      <x:c r="H44" s="9" t="n">
        <x:f>E44+F44-G44</x:f>
        <x:v>0</x:v>
      </x:c>
      <x:c r="I44" s="10" t="n">
        <x:f>H44/D44</x:f>
        <x:v>0</x:v>
      </x:c>
      <x:c r="J44" s="10" t="str">
        <x:f>IF(E44=0,"",G44/E44)</x:f>
      </x:c>
      <x:c r="K44" s="2"/>
      <x:c r="L44" s="2"/>
      <x:c r="M44" s="2"/>
      <x:c r="N44" s="2"/>
    </x:row>
    <x:row r="45" ht="25" customHeight="1">
      <x:c r="B45" s="2" t="str">
        <x:v>최근 단발형</x:v>
      </x:c>
      <x:c r="C45" s="21" t="d">
        <x:v>2013-03-09T00:00:00.000Z</x:v>
      </x:c>
      <x:c r="D45" s="9" t="n">
        <x:v>15402</x:v>
      </x:c>
      <x:c r="E45" s="9" t="n">
        <x:v>0</x:v>
      </x:c>
      <x:c r="F45" s="9" t="n">
        <x:v>5733</x:v>
      </x:c>
      <x:c r="G45" s="9" t="n">
        <x:v>0</x:v>
      </x:c>
      <x:c r="H45" s="9" t="n">
        <x:f>E45+F45-G45</x:f>
        <x:v>5733</x:v>
      </x:c>
      <x:c r="I45" s="10" t="n">
        <x:f>H45/D45</x:f>
        <x:v>0.37222438644331907</x:v>
      </x:c>
      <x:c r="J45" s="10" t="str">
        <x:f>IF(E45=0,"",G45/E45)</x:f>
      </x:c>
      <x:c r="K45" s="2"/>
      <x:c r="L45" s="2"/>
      <x:c r="M45" s="2"/>
      <x:c r="N45" s="2"/>
    </x:row>
    <x:row r="46" ht="25" customHeight="1">
      <x:c r="B46" s="2" t="str">
        <x:v>최근 단발형</x:v>
      </x:c>
      <x:c r="C46" s="21" t="d">
        <x:v>2013-03-10T00:00:00.000Z</x:v>
      </x:c>
      <x:c r="D46" s="9" t="n">
        <x:v>15402</x:v>
      </x:c>
      <x:c r="E46" s="9" t="n">
        <x:v>5733</x:v>
      </x:c>
      <x:c r="F46" s="9" t="n">
        <x:v>5633</x:v>
      </x:c>
      <x:c r="G46" s="9" t="n">
        <x:v>308</x:v>
      </x:c>
      <x:c r="H46" s="9" t="n">
        <x:f>E46+F46-G46</x:f>
        <x:v>11058</x:v>
      </x:c>
      <x:c r="I46" s="10" t="n">
        <x:f>H46/D46</x:f>
        <x:v>0.7179587066614725</x:v>
      </x:c>
      <x:c r="J46" s="10" t="n">
        <x:f>IF(E46=0,"",G46/E46)</x:f>
        <x:v>0.05372405372405373</x:v>
      </x:c>
      <x:c r="K46" s="2"/>
      <x:c r="L46" s="2"/>
      <x:c r="M46" s="2"/>
      <x:c r="N46" s="2"/>
    </x:row>
    <x:row r="47" ht="25" customHeight="1">
      <x:c r="B47" s="2" t="str">
        <x:v>최근 단발형</x:v>
      </x:c>
      <x:c r="C47" s="21" t="d">
        <x:v>2013-03-11T00:00:00.000Z</x:v>
      </x:c>
      <x:c r="D47" s="9" t="n">
        <x:v>15402</x:v>
      </x:c>
      <x:c r="E47" s="9" t="n">
        <x:v>11058</x:v>
      </x:c>
      <x:c r="F47" s="9" t="n">
        <x:v>1338</x:v>
      </x:c>
      <x:c r="G47" s="9" t="n">
        <x:v>662</x:v>
      </x:c>
      <x:c r="H47" s="9" t="n">
        <x:f>E47+F47-G47</x:f>
        <x:v>11734</x:v>
      </x:c>
      <x:c r="I47" s="10" t="n">
        <x:f>H47/D47</x:f>
        <x:v>0.7618491105051292</x:v>
      </x:c>
      <x:c r="J47" s="10" t="n">
        <x:f>IF(E47=0,"",G47/E47)</x:f>
        <x:v>0.05986616024597576</x:v>
      </x:c>
      <x:c r="K47" s="2"/>
      <x:c r="L47" s="2"/>
      <x:c r="M47" s="2"/>
      <x:c r="N47" s="2"/>
    </x:row>
    <x:row r="48" ht="25" customHeight="1">
      <x:c r="B48" s="2" t="str">
        <x:v>멈춤-꾸준형</x:v>
      </x:c>
      <x:c r="C48" s="21" t="d">
        <x:v>2013-03-08T00:00:00.000Z</x:v>
      </x:c>
      <x:c r="D48" s="9" t="n">
        <x:v>3627</x:v>
      </x:c>
      <x:c r="E48" s="9" t="n">
        <x:v>1531</x:v>
      </x:c>
      <x:c r="F48" s="9" t="n">
        <x:v>1610</x:v>
      </x:c>
      <x:c r="G48" s="9" t="n">
        <x:v>246</x:v>
      </x:c>
      <x:c r="H48" s="9" t="n">
        <x:f>E48+F48-G48</x:f>
        <x:v>2895</x:v>
      </x:c>
      <x:c r="I48" s="10" t="n">
        <x:f>H48/D48</x:f>
        <x:v>0.7981803143093466</x:v>
      </x:c>
      <x:c r="J48" s="10" t="n">
        <x:f>IF(E48=0,"",G48/E48)</x:f>
        <x:v>0.16067929457870672</x:v>
      </x:c>
      <x:c r="K48" s="2"/>
      <x:c r="L48" s="2"/>
      <x:c r="M48" s="2"/>
      <x:c r="N48" s="2"/>
    </x:row>
    <x:row r="49" ht="25" customHeight="1">
      <x:c r="B49" s="2" t="str">
        <x:v>멈춤-꾸준형</x:v>
      </x:c>
      <x:c r="C49" s="21" t="d">
        <x:v>2013-03-09T00:00:00.000Z</x:v>
      </x:c>
      <x:c r="D49" s="9" t="n">
        <x:v>3627</x:v>
      </x:c>
      <x:c r="E49" s="9" t="n">
        <x:v>2895</x:v>
      </x:c>
      <x:c r="F49" s="9" t="n">
        <x:v>0</x:v>
      </x:c>
      <x:c r="G49" s="9" t="n">
        <x:v>426</x:v>
      </x:c>
      <x:c r="H49" s="9" t="n">
        <x:f>E49+F49-G49</x:f>
        <x:v>2469</x:v>
      </x:c>
      <x:c r="I49" s="10" t="n">
        <x:f>H49/D49</x:f>
        <x:v>0.6807278742762614</x:v>
      </x:c>
      <x:c r="J49" s="10" t="n">
        <x:f>IF(E49=0,"",G49/E49)</x:f>
        <x:v>0.14715025906735751</x:v>
      </x:c>
      <x:c r="K49" s="2"/>
      <x:c r="L49" s="2"/>
      <x:c r="M49" s="2"/>
      <x:c r="N49" s="2"/>
    </x:row>
    <x:row r="50" ht="25" customHeight="1">
      <x:c r="B50" s="2" t="str">
        <x:v>멈춤-꾸준형</x:v>
      </x:c>
      <x:c r="C50" s="21" t="d">
        <x:v>2013-03-10T00:00:00.000Z</x:v>
      </x:c>
      <x:c r="D50" s="9" t="n">
        <x:v>3627</x:v>
      </x:c>
      <x:c r="E50" s="9" t="n">
        <x:v>2469</x:v>
      </x:c>
      <x:c r="F50" s="9" t="n">
        <x:v>0</x:v>
      </x:c>
      <x:c r="G50" s="9" t="n">
        <x:v>267</x:v>
      </x:c>
      <x:c r="H50" s="9" t="n">
        <x:f>E50+F50-G50</x:f>
        <x:v>2202</x:v>
      </x:c>
      <x:c r="I50" s="10" t="n">
        <x:f>H50/D50</x:f>
        <x:v>0.6071133167907361</x:v>
      </x:c>
      <x:c r="J50" s="10" t="n">
        <x:f>IF(E50=0,"",G50/E50)</x:f>
        <x:v>0.10814094775212636</x:v>
      </x:c>
      <x:c r="K50" s="2"/>
      <x:c r="L50" s="2"/>
      <x:c r="M50" s="2"/>
      <x:c r="N50" s="2"/>
    </x:row>
    <x:row r="51" ht="25" customHeight="1">
      <x:c r="B51" s="2" t="str">
        <x:v>멈춤-꾸준형</x:v>
      </x:c>
      <x:c r="C51" s="21" t="d">
        <x:v>2013-03-11T00:00:00.000Z</x:v>
      </x:c>
      <x:c r="D51" s="9" t="n">
        <x:v>3627</x:v>
      </x:c>
      <x:c r="E51" s="9" t="n">
        <x:v>2202</x:v>
      </x:c>
      <x:c r="F51" s="9" t="n">
        <x:v>238</x:v>
      </x:c>
      <x:c r="G51" s="9" t="n">
        <x:v>233</x:v>
      </x:c>
      <x:c r="H51" s="9" t="n">
        <x:f>E51+F51-G51</x:f>
        <x:v>2207</x:v>
      </x:c>
      <x:c r="I51" s="10" t="n">
        <x:f>H51/D51</x:f>
        <x:v>0.6084918665563827</x:v>
      </x:c>
      <x:c r="J51" s="10" t="n">
        <x:f>IF(E51=0,"",G51/E51)</x:f>
        <x:v>0.10581289736603088</x:v>
      </x:c>
      <x:c r="K51" s="2"/>
      <x:c r="L51" s="2"/>
      <x:c r="M51" s="2"/>
      <x:c r="N51" s="2"/>
    </x:row>
    <x:row r="52" ht="25" customHeight="1">
      <x:c r="B52" s="2" t="str">
        <x:v>멈춤-몰입형</x:v>
      </x:c>
      <x:c r="C52" s="21" t="d">
        <x:v>2013-03-08T00:00:00.000Z</x:v>
      </x:c>
      <x:c r="D52" s="9" t="n">
        <x:v>9303</x:v>
      </x:c>
      <x:c r="E52" s="9" t="n">
        <x:v>6902</x:v>
      </x:c>
      <x:c r="F52" s="9" t="n">
        <x:v>2081</x:v>
      </x:c>
      <x:c r="G52" s="9" t="n">
        <x:v>604</x:v>
      </x:c>
      <x:c r="H52" s="9" t="n">
        <x:f>E52+F52-G52</x:f>
        <x:v>8379</x:v>
      </x:c>
      <x:c r="I52" s="10" t="n">
        <x:f>H52/D52</x:f>
        <x:v>0.9006772009029346</x:v>
      </x:c>
      <x:c r="J52" s="10" t="n">
        <x:f>IF(E52=0,"",G52/E52)</x:f>
        <x:v>0.08751086641553173</x:v>
      </x:c>
      <x:c r="K52" s="2"/>
      <x:c r="L52" s="2"/>
      <x:c r="M52" s="2"/>
      <x:c r="N52" s="2"/>
    </x:row>
    <x:row r="53" ht="25" customHeight="1">
      <x:c r="B53" s="2" t="str">
        <x:v>멈춤-몰입형</x:v>
      </x:c>
      <x:c r="C53" s="21" t="d">
        <x:v>2013-03-09T00:00:00.000Z</x:v>
      </x:c>
      <x:c r="D53" s="9" t="n">
        <x:v>9303</x:v>
      </x:c>
      <x:c r="E53" s="9" t="n">
        <x:v>8379</x:v>
      </x:c>
      <x:c r="F53" s="9" t="n">
        <x:v>0</x:v>
      </x:c>
      <x:c r="G53" s="9" t="n">
        <x:v>602</x:v>
      </x:c>
      <x:c r="H53" s="9" t="n">
        <x:f>E53+F53-G53</x:f>
        <x:v>7777</x:v>
      </x:c>
      <x:c r="I53" s="10" t="n">
        <x:f>H53/D53</x:f>
        <x:v>0.835966892400301</x:v>
      </x:c>
      <x:c r="J53" s="10" t="n">
        <x:f>IF(E53=0,"",G53/E53)</x:f>
        <x:v>0.07184628237259816</x:v>
      </x:c>
      <x:c r="K53" s="2"/>
      <x:c r="L53" s="2"/>
      <x:c r="M53" s="2"/>
      <x:c r="N53" s="2"/>
    </x:row>
    <x:row r="54" ht="25" customHeight="1">
      <x:c r="B54" s="2" t="str">
        <x:v>멈춤-몰입형</x:v>
      </x:c>
      <x:c r="C54" s="21" t="d">
        <x:v>2013-03-10T00:00:00.000Z</x:v>
      </x:c>
      <x:c r="D54" s="9" t="n">
        <x:v>9303</x:v>
      </x:c>
      <x:c r="E54" s="9" t="n">
        <x:v>7777</x:v>
      </x:c>
      <x:c r="F54" s="9" t="n">
        <x:v>0</x:v>
      </x:c>
      <x:c r="G54" s="9" t="n">
        <x:v>484</x:v>
      </x:c>
      <x:c r="H54" s="9" t="n">
        <x:f>E54+F54-G54</x:f>
        <x:v>7293</x:v>
      </x:c>
      <x:c r="I54" s="10" t="n">
        <x:f>H54/D54</x:f>
        <x:v>0.7839406643018381</x:v>
      </x:c>
      <x:c r="J54" s="10" t="n">
        <x:f>IF(E54=0,"",G54/E54)</x:f>
        <x:v>0.06223479490806223</x:v>
      </x:c>
      <x:c r="K54" s="2"/>
      <x:c r="L54" s="2"/>
      <x:c r="M54" s="2"/>
      <x:c r="N54" s="2"/>
    </x:row>
    <x:row r="55" ht="25" customHeight="1">
      <x:c r="B55" s="2" t="str">
        <x:v>멈춤-몰입형</x:v>
      </x:c>
      <x:c r="C55" s="21" t="d">
        <x:v>2013-03-11T00:00:00.000Z</x:v>
      </x:c>
      <x:c r="D55" s="9" t="n">
        <x:v>9303</x:v>
      </x:c>
      <x:c r="E55" s="9" t="n">
        <x:v>7293</x:v>
      </x:c>
      <x:c r="F55" s="9" t="n">
        <x:v>466</x:v>
      </x:c>
      <x:c r="G55" s="9" t="n">
        <x:v>446</x:v>
      </x:c>
      <x:c r="H55" s="9" t="n">
        <x:f>E55+F55-G55</x:f>
        <x:v>7313</x:v>
      </x:c>
      <x:c r="I55" s="10" t="n">
        <x:f>H55/D55</x:f>
        <x:v>0.7860905084381382</x:v>
      </x:c>
      <x:c r="J55" s="10" t="n">
        <x:f>IF(E55=0,"",G55/E55)</x:f>
        <x:v>0.06115453174276703</x:v>
      </x:c>
      <x:c r="K55" s="2"/>
      <x:c r="L55" s="2"/>
      <x:c r="M55" s="2"/>
      <x:c r="N55" s="2"/>
    </x:row>
    <x:row r="56" ht="25" customHeight="1">
      <x:c r="B56" s="2" t="str">
        <x:v>멈춤-저활동형</x:v>
      </x:c>
      <x:c r="C56" s="21" t="d">
        <x:v>2013-03-08T00:00:00.000Z</x:v>
      </x:c>
      <x:c r="D56" s="9" t="n">
        <x:v>30670</x:v>
      </x:c>
      <x:c r="E56" s="9" t="n">
        <x:v>23890</x:v>
      </x:c>
      <x:c r="F56" s="9" t="n">
        <x:v>6183</x:v>
      </x:c>
      <x:c r="G56" s="9" t="n">
        <x:v>1249</x:v>
      </x:c>
      <x:c r="H56" s="9" t="n">
        <x:f>E56+F56-G56</x:f>
        <x:v>28824</x:v>
      </x:c>
      <x:c r="I56" s="10" t="n">
        <x:f>H56/D56</x:f>
        <x:v>0.939810890120639</x:v>
      </x:c>
      <x:c r="J56" s="10" t="n">
        <x:f>IF(E56=0,"",G56/E56)</x:f>
        <x:v>0.05228128924236082</x:v>
      </x:c>
      <x:c r="K56" s="2"/>
      <x:c r="L56" s="2"/>
      <x:c r="M56" s="2"/>
      <x:c r="N56" s="2"/>
    </x:row>
    <x:row r="57" ht="25" customHeight="1">
      <x:c r="B57" s="2" t="str">
        <x:v>멈춤-저활동형</x:v>
      </x:c>
      <x:c r="C57" s="21" t="d">
        <x:v>2013-03-09T00:00:00.000Z</x:v>
      </x:c>
      <x:c r="D57" s="9" t="n">
        <x:v>30670</x:v>
      </x:c>
      <x:c r="E57" s="9" t="n">
        <x:v>28824</x:v>
      </x:c>
      <x:c r="F57" s="9" t="n">
        <x:v>0</x:v>
      </x:c>
      <x:c r="G57" s="9" t="n">
        <x:v>1304</x:v>
      </x:c>
      <x:c r="H57" s="9" t="n">
        <x:f>E57+F57-G57</x:f>
        <x:v>27520</x:v>
      </x:c>
      <x:c r="I57" s="10" t="n">
        <x:f>H57/D57</x:f>
        <x:v>0.8972937724160417</x:v>
      </x:c>
      <x:c r="J57" s="10" t="n">
        <x:f>IF(E57=0,"",G57/E57)</x:f>
        <x:v>0.045240077713016934</x:v>
      </x:c>
      <x:c r="K57" s="2"/>
      <x:c r="L57" s="2"/>
      <x:c r="M57" s="2"/>
      <x:c r="N57" s="2"/>
    </x:row>
    <x:row r="58" ht="25" customHeight="1">
      <x:c r="B58" s="2" t="str">
        <x:v>멈춤-저활동형</x:v>
      </x:c>
      <x:c r="C58" s="21" t="d">
        <x:v>2013-03-10T00:00:00.000Z</x:v>
      </x:c>
      <x:c r="D58" s="9" t="n">
        <x:v>30670</x:v>
      </x:c>
      <x:c r="E58" s="9" t="n">
        <x:v>27520</x:v>
      </x:c>
      <x:c r="F58" s="9" t="n">
        <x:v>0</x:v>
      </x:c>
      <x:c r="G58" s="9" t="n">
        <x:v>1183</x:v>
      </x:c>
      <x:c r="H58" s="9" t="n">
        <x:f>E58+F58-G58</x:f>
        <x:v>26337</x:v>
      </x:c>
      <x:c r="I58" s="10" t="n">
        <x:f>H58/D58</x:f>
        <x:v>0.858721878056733</x:v>
      </x:c>
      <x:c r="J58" s="10" t="n">
        <x:f>IF(E58=0,"",G58/E58)</x:f>
        <x:v>0.04298691860465116</x:v>
      </x:c>
      <x:c r="K58" s="2"/>
      <x:c r="L58" s="2"/>
      <x:c r="M58" s="2"/>
      <x:c r="N58" s="2"/>
    </x:row>
    <x:row r="59" ht="25" customHeight="1">
      <x:c r="B59" s="2" t="str">
        <x:v>멈춤-저활동형</x:v>
      </x:c>
      <x:c r="C59" s="21" t="d">
        <x:v>2013-03-11T00:00:00.000Z</x:v>
      </x:c>
      <x:c r="D59" s="9" t="n">
        <x:v>30670</x:v>
      </x:c>
      <x:c r="E59" s="9" t="n">
        <x:v>26337</x:v>
      </x:c>
      <x:c r="F59" s="9" t="n">
        <x:v>1103</x:v>
      </x:c>
      <x:c r="G59" s="9" t="n">
        <x:v>1044</x:v>
      </x:c>
      <x:c r="H59" s="9" t="n">
        <x:f>E59+F59-G59</x:f>
        <x:v>26396</x:v>
      </x:c>
      <x:c r="I59" s="10" t="n">
        <x:f>H59/D59</x:f>
        <x:v>0.8606455820019563</x:v>
      </x:c>
      <x:c r="J59" s="10" t="n">
        <x:f>IF(E59=0,"",G59/E59)</x:f>
        <x:v>0.0396400501196036</x:v>
      </x:c>
      <x:c r="K59" s="2"/>
      <x:c r="L59" s="2"/>
      <x:c r="M59" s="2"/>
      <x:c r="N59" s="2"/>
    </x:row>
    <x:row r="60" ht="2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5" customHeight="1">
      <x:c r="B62" s="20" t="str">
        <x:v>전체 사용자 추적 — 누적 재학습과 현재 비활동은 서로 겹칠 수 있음</x:v>
      </x:c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5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43" customHeight="1">
      <x:c r="B64" s="8" t="str">
        <x:v>날짜</x:v>
      </x:c>
      <x:c r="C64" s="8" t="str">
        <x:v>대상 인원</x:v>
      </x:c>
      <x:c r="D64" s="8" t="str">
        <x:v>누적 재학습
인원</x:v>
      </x:c>
      <x:c r="E64" s="8" t="str">
        <x:v>누적
재학습률</x:v>
      </x:c>
      <x:c r="F64" s="8" t="str">
        <x:v>누적 반복
학습 인원</x:v>
      </x:c>
      <x:c r="G64" s="8" t="str">
        <x:v>누적 반복
학습률</x:v>
      </x:c>
      <x:c r="H64" s="8" t="str">
        <x:v>3일 비활동
인원</x:v>
      </x:c>
      <x:c r="I64" s="8" t="str">
        <x:v>3일 비활동
비율</x:v>
      </x:c>
      <x:c r="J64" s="2"/>
      <x:c r="K64" s="2"/>
      <x:c r="L64" s="2"/>
      <x:c r="M64" s="2"/>
      <x:c r="N64" s="2"/>
    </x:row>
    <x:row r="65" ht="25" customHeight="1">
      <x:c r="B65" s="21" t="d">
        <x:v>2013-03-08T00:00:00.000Z</x:v>
      </x:c>
      <x:c r="C65" s="9" t="n">
        <x:v>82467</x:v>
      </x:c>
      <x:c r="D65" s="9" t="n">
        <x:v>14846</x:v>
      </x:c>
      <x:c r="E65" s="10" t="n">
        <x:f>D65/C65</x:f>
        <x:v>0.1800235245613397</x:v>
      </x:c>
      <x:c r="F65" s="9" t="n">
        <x:v>0</x:v>
      </x:c>
      <x:c r="G65" s="10" t="n">
        <x:f>F65/C65</x:f>
        <x:v>0</x:v>
      </x:c>
      <x:c r="H65" s="9" t="n">
        <x:v>40098</x:v>
      </x:c>
      <x:c r="I65" s="10" t="n">
        <x:f>H65/C65</x:f>
        <x:v>0.48623085597875515</x:v>
      </x:c>
      <x:c r="J65" s="2"/>
      <x:c r="K65" s="2"/>
      <x:c r="L65" s="2"/>
      <x:c r="M65" s="2"/>
      <x:c r="N65" s="2"/>
    </x:row>
    <x:row r="66" ht="25" customHeight="1">
      <x:c r="B66" s="21" t="d">
        <x:v>2013-03-09T00:00:00.000Z</x:v>
      </x:c>
      <x:c r="C66" s="9" t="n">
        <x:v>82467</x:v>
      </x:c>
      <x:c r="D66" s="9" t="n">
        <x:v>21087</x:v>
      </x:c>
      <x:c r="E66" s="10" t="n">
        <x:f>D66/C66</x:f>
        <x:v>0.25570228091236497</x:v>
      </x:c>
      <x:c r="F66" s="9" t="n">
        <x:v>5475</x:v>
      </x:c>
      <x:c r="G66" s="10" t="n">
        <x:f>F66/C66</x:f>
        <x:v>0.0663901924406126</x:v>
      </x:c>
      <x:c r="H66" s="9" t="n">
        <x:v>48558</x:v>
      </x:c>
      <x:c r="I66" s="10" t="n">
        <x:f>H66/C66</x:f>
        <x:v>0.5888173451198662</x:v>
      </x:c>
      <x:c r="J66" s="2"/>
      <x:c r="K66" s="2"/>
      <x:c r="L66" s="2"/>
      <x:c r="M66" s="2"/>
      <x:c r="N66" s="2"/>
    </x:row>
    <x:row r="67" ht="25" customHeight="1">
      <x:c r="B67" s="21" t="d">
        <x:v>2013-03-10T00:00:00.000Z</x:v>
      </x:c>
      <x:c r="C67" s="9" t="n">
        <x:v>82467</x:v>
      </x:c>
      <x:c r="D67" s="9" t="n">
        <x:v>25314</x:v>
      </x:c>
      <x:c r="E67" s="10" t="n">
        <x:f>D67/C67</x:f>
        <x:v>0.30695914729528173</x:v>
      </x:c>
      <x:c r="F67" s="9" t="n">
        <x:v>9588</x:v>
      </x:c>
      <x:c r="G67" s="10" t="n">
        <x:f>F67/C67</x:f>
        <x:v>0.11626468769325912</x:v>
      </x:c>
      <x:c r="H67" s="9" t="n">
        <x:v>57153</x:v>
      </x:c>
      <x:c r="I67" s="10" t="n">
        <x:f>H67/C67</x:f>
        <x:v>0.6930408527047183</x:v>
      </x:c>
      <x:c r="J67" s="2"/>
      <x:c r="K67" s="2"/>
      <x:c r="L67" s="2"/>
      <x:c r="M67" s="2"/>
      <x:c r="N67" s="2"/>
    </x:row>
    <x:row r="68" ht="25" customHeight="1">
      <x:c r="B68" s="21" t="d">
        <x:v>2013-03-11T00:00:00.000Z</x:v>
      </x:c>
      <x:c r="C68" s="9" t="n">
        <x:v>82467</x:v>
      </x:c>
      <x:c r="D68" s="9" t="n">
        <x:v>29240</x:v>
      </x:c>
      <x:c r="E68" s="10" t="n">
        <x:f>D68/C68</x:f>
        <x:v>0.35456606885178316</x:v>
      </x:c>
      <x:c r="F68" s="9" t="n">
        <x:v>13466</x:v>
      </x:c>
      <x:c r="G68" s="10" t="n">
        <x:f>F68/C68</x:f>
        <x:v>0.16328955824754143</x:v>
      </x:c>
      <x:c r="H68" s="9" t="n">
        <x:v>58758</x:v>
      </x:c>
      <x:c r="I68" s="10" t="n">
        <x:f>H68/C68</x:f>
        <x:v>0.7125031830914184</x:v>
      </x:c>
      <x:c r="J68" s="2"/>
      <x:c r="K68" s="2"/>
      <x:c r="L68" s="2"/>
      <x:c r="M68" s="2"/>
      <x:c r="N68" s="2"/>
    </x:row>
    <x:row r="69" ht="25" customHeight="1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5" customHeight="1">
      <x:c r="B71" s="2" t="str">
        <x:v>신규 비활동 인원은 그날 처음 3일 기준에 도달한 인원이며, 영구 이탈 인원이 아닙니다.</x:v>
      </x:c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5" customHeight="1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 ht="25" customHeight="1">
      <x:c r="B2" s="3" t="str">
        <x:v>첫 복귀일을 D0로 맞춘 재학습 코호트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5" customHeight="1">
      <x:c r="B4" s="2" t="str">
        <x:v>D0는 3/8~11 중 첫 재학습일. 가입일과 구분하며, 미관측 구간은 빈칸.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3" customHeight="1">
      <x:c r="B6" s="8" t="str">
        <x:v>세그먼트</x:v>
      </x:c>
      <x:c r="C6" s="8" t="str">
        <x:v>첫 복귀일</x:v>
      </x:c>
      <x:c r="D6" s="8" t="str">
        <x:v>복귀 집단
인원</x:v>
      </x:c>
      <x:c r="E6" s="8" t="str">
        <x:v>D0 인원</x:v>
      </x:c>
      <x:c r="F6" s="8" t="str">
        <x:v>D0 비율</x:v>
      </x:c>
      <x:c r="G6" s="8" t="str">
        <x:v>D+1 인원</x:v>
      </x:c>
      <x:c r="H6" s="8" t="str">
        <x:v>D+1 비율</x:v>
      </x:c>
      <x:c r="I6" s="8" t="str">
        <x:v>D+2 인원</x:v>
      </x:c>
      <x:c r="J6" s="8" t="str">
        <x:v>D+2 비율</x:v>
      </x:c>
      <x:c r="K6" s="8" t="str">
        <x:v>D+3 인원</x:v>
      </x:c>
      <x:c r="L6" s="8" t="str">
        <x:v>D+3 비율</x:v>
      </x:c>
      <x:c r="M6" s="8" t="str">
        <x:v>2일 내 추가
학습 인원</x:v>
      </x:c>
      <x:c r="N6" s="8" t="str">
        <x:v>2일 내 추가
학습률</x:v>
      </x:c>
    </x:row>
    <x:row r="7" ht="25" customHeight="1">
      <x:c r="B7" s="2" t="str">
        <x:v>전체</x:v>
      </x:c>
      <x:c r="C7" s="21" t="d">
        <x:v>2013-03-08T00:00:00.000Z</x:v>
      </x:c>
      <x:c r="D7" s="9" t="n">
        <x:v>14846</x:v>
      </x:c>
      <x:c r="E7" s="9" t="n">
        <x:v>14846</x:v>
      </x:c>
      <x:c r="F7" s="10" t="n">
        <x:f>E7/D7</x:f>
        <x:v>1</x:v>
      </x:c>
      <x:c r="G7" s="9" t="n">
        <x:v>5475</x:v>
      </x:c>
      <x:c r="H7" s="10" t="n">
        <x:f>G7/D7</x:f>
        <x:v>0.36878620503839415</x:v>
      </x:c>
      <x:c r="I7" s="9" t="n">
        <x:v>4968</x:v>
      </x:c>
      <x:c r="J7" s="10" t="n">
        <x:f>I7/D7</x:f>
        <x:v>0.3346355920786744</x:v>
      </x:c>
      <x:c r="K7" s="9" t="n">
        <x:v>5528</x:v>
      </x:c>
      <x:c r="L7" s="10" t="n">
        <x:f>K7/D7</x:f>
        <x:v>0.37235619021958777</x:v>
      </x:c>
      <x:c r="M7" s="9" t="n">
        <x:v>7531</x:v>
      </x:c>
      <x:c r="N7" s="10" t="n">
        <x:f>M7/D7</x:f>
        <x:v>0.507274686784319</x:v>
      </x:c>
    </x:row>
    <x:row r="8" ht="25" customHeight="1">
      <x:c r="B8" s="2" t="str">
        <x:v>전체</x:v>
      </x:c>
      <x:c r="C8" s="21" t="d">
        <x:v>2013-03-09T00:00:00.000Z</x:v>
      </x:c>
      <x:c r="D8" s="9" t="n">
        <x:v>6241</x:v>
      </x:c>
      <x:c r="E8" s="9" t="n">
        <x:v>6241</x:v>
      </x:c>
      <x:c r="F8" s="10" t="n">
        <x:f>E8/D8</x:f>
        <x:v>1</x:v>
      </x:c>
      <x:c r="G8" s="9" t="n">
        <x:v>2057</x:v>
      </x:c>
      <x:c r="H8" s="10" t="n">
        <x:f>G8/D8</x:f>
        <x:v>0.3295946162473963</x:v>
      </x:c>
      <x:c r="I8" s="9" t="n">
        <x:v>1827</x:v>
      </x:c>
      <x:c r="J8" s="10" t="n">
        <x:f>I8/D8</x:f>
        <x:v>0.29274154782887357</x:v>
      </x:c>
      <x:c r="K8" s="9"/>
      <x:c r="L8" s="10"/>
      <x:c r="M8" s="9" t="n">
        <x:v>3007</x:v>
      </x:c>
      <x:c r="N8" s="10" t="n">
        <x:f>M8/D8</x:f>
        <x:v>0.4818138118891203</x:v>
      </x:c>
    </x:row>
    <x:row r="9" ht="25" customHeight="1">
      <x:c r="B9" s="2" t="str">
        <x:v>전체</x:v>
      </x:c>
      <x:c r="C9" s="21" t="d">
        <x:v>2013-03-10T00:00:00.000Z</x:v>
      </x:c>
      <x:c r="D9" s="9" t="n">
        <x:v>4227</x:v>
      </x:c>
      <x:c r="E9" s="9" t="n">
        <x:v>4227</x:v>
      </x:c>
      <x:c r="F9" s="10" t="n">
        <x:f>E9/D9</x:f>
        <x:v>1</x:v>
      </x:c>
      <x:c r="G9" s="9" t="n">
        <x:v>1144</x:v>
      </x:c>
      <x:c r="H9" s="10" t="n">
        <x:f>G9/D9</x:f>
        <x:v>0.2706411166311805</x:v>
      </x:c>
      <x:c r="I9" s="9"/>
      <x:c r="J9" s="10"/>
      <x:c r="K9" s="9"/>
      <x:c r="L9" s="10"/>
      <x:c r="M9" s="9"/>
      <x:c r="N9" s="10"/>
    </x:row>
    <x:row r="10" ht="25" customHeight="1">
      <x:c r="B10" s="2" t="str">
        <x:v>전체</x:v>
      </x:c>
      <x:c r="C10" s="21" t="d">
        <x:v>2013-03-11T00:00:00.000Z</x:v>
      </x:c>
      <x:c r="D10" s="9" t="n">
        <x:v>3926</x:v>
      </x:c>
      <x:c r="E10" s="9" t="n">
        <x:v>3926</x:v>
      </x:c>
      <x:c r="F10" s="10" t="n">
        <x:f>E10/D10</x:f>
        <x:v>1</x:v>
      </x:c>
      <x:c r="G10" s="9"/>
      <x:c r="H10" s="10"/>
      <x:c r="I10" s="9"/>
      <x:c r="J10" s="10"/>
      <x:c r="K10" s="9"/>
      <x:c r="L10" s="10"/>
      <x:c r="M10" s="9"/>
      <x:c r="N10" s="10"/>
    </x:row>
    <x:row r="11" ht="25" customHeight="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5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43" customHeight="1">
      <x:c r="B14" s="8" t="str">
        <x:v>세그먼트</x:v>
      </x:c>
      <x:c r="C14" s="8" t="str">
        <x:v>첫 복귀일</x:v>
      </x:c>
      <x:c r="D14" s="8" t="str">
        <x:v>복귀 집단
인원</x:v>
      </x:c>
      <x:c r="E14" s="8" t="str">
        <x:v>D0 인원</x:v>
      </x:c>
      <x:c r="F14" s="8" t="str">
        <x:v>D0 비율</x:v>
      </x:c>
      <x:c r="G14" s="8" t="str">
        <x:v>D+1 인원</x:v>
      </x:c>
      <x:c r="H14" s="8" t="str">
        <x:v>D+1 비율</x:v>
      </x:c>
      <x:c r="I14" s="8" t="str">
        <x:v>D+2 인원</x:v>
      </x:c>
      <x:c r="J14" s="8" t="str">
        <x:v>D+2 비율</x:v>
      </x:c>
      <x:c r="K14" s="8" t="str">
        <x:v>D+3 인원</x:v>
      </x:c>
      <x:c r="L14" s="8" t="str">
        <x:v>D+3 비율</x:v>
      </x:c>
      <x:c r="M14" s="8" t="str">
        <x:v>2일 내 추가
학습 인원</x:v>
      </x:c>
      <x:c r="N14" s="8" t="str">
        <x:v>2일 내 추가
학습률</x:v>
      </x:c>
    </x:row>
    <x:row r="15" ht="25" customHeight="1">
      <x:c r="B15" s="2" t="str">
        <x:v>꾸준형</x:v>
      </x:c>
      <x:c r="C15" s="21" t="d">
        <x:v>2013-03-08T00:00:00.000Z</x:v>
      </x:c>
      <x:c r="D15" s="9" t="n">
        <x:v>4602</x:v>
      </x:c>
      <x:c r="E15" s="9" t="n">
        <x:v>4602</x:v>
      </x:c>
      <x:c r="F15" s="10" t="n">
        <x:f>E15/D15</x:f>
        <x:v>1</x:v>
      </x:c>
      <x:c r="G15" s="9" t="n">
        <x:v>2518</x:v>
      </x:c>
      <x:c r="H15" s="10" t="n">
        <x:f>G15/D15</x:f>
        <x:v>0.5471534115601913</x:v>
      </x:c>
      <x:c r="I15" s="9" t="n">
        <x:v>2366</x:v>
      </x:c>
      <x:c r="J15" s="10" t="n">
        <x:f>I15/D15</x:f>
        <x:v>0.5141242937853108</x:v>
      </x:c>
      <x:c r="K15" s="9" t="n">
        <x:v>2585</x:v>
      </x:c>
      <x:c r="L15" s="10" t="n">
        <x:f>K15/D15</x:f>
        <x:v>0.5617122990004346</x:v>
      </x:c>
      <x:c r="M15" s="9" t="n">
        <x:v>3250</x:v>
      </x:c>
      <x:c r="N15" s="10" t="n">
        <x:f>M15/D15</x:f>
        <x:v>0.7062146892655368</x:v>
      </x:c>
    </x:row>
    <x:row r="16" ht="25" customHeight="1">
      <x:c r="B16" s="2" t="str">
        <x:v>꾸준형</x:v>
      </x:c>
      <x:c r="C16" s="21" t="d">
        <x:v>2013-03-09T00:00:00.000Z</x:v>
      </x:c>
      <x:c r="D16" s="9" t="n">
        <x:v>1295</x:v>
      </x:c>
      <x:c r="E16" s="9" t="n">
        <x:v>1295</x:v>
      </x:c>
      <x:c r="F16" s="10" t="n">
        <x:f>E16/D16</x:f>
        <x:v>1</x:v>
      </x:c>
      <x:c r="G16" s="9" t="n">
        <x:v>635</x:v>
      </x:c>
      <x:c r="H16" s="10" t="n">
        <x:f>G16/D16</x:f>
        <x:v>0.49034749034749037</x:v>
      </x:c>
      <x:c r="I16" s="9" t="n">
        <x:v>604</x:v>
      </x:c>
      <x:c r="J16" s="10" t="n">
        <x:f>I16/D16</x:f>
        <x:v>0.4664092664092664</x:v>
      </x:c>
      <x:c r="K16" s="9"/>
      <x:c r="L16" s="10"/>
      <x:c r="M16" s="9" t="n">
        <x:v>902</x:v>
      </x:c>
      <x:c r="N16" s="10" t="n">
        <x:f>M16/D16</x:f>
        <x:v>0.6965250965250965</x:v>
      </x:c>
    </x:row>
    <x:row r="17" ht="25" customHeight="1">
      <x:c r="B17" s="2" t="str">
        <x:v>꾸준형</x:v>
      </x:c>
      <x:c r="C17" s="21" t="d">
        <x:v>2013-03-10T00:00:00.000Z</x:v>
      </x:c>
      <x:c r="D17" s="9" t="n">
        <x:v>655</x:v>
      </x:c>
      <x:c r="E17" s="9" t="n">
        <x:v>655</x:v>
      </x:c>
      <x:c r="F17" s="10" t="n">
        <x:f>E17/D17</x:f>
        <x:v>1</x:v>
      </x:c>
      <x:c r="G17" s="9" t="n">
        <x:v>271</x:v>
      </x:c>
      <x:c r="H17" s="10" t="n">
        <x:f>G17/D17</x:f>
        <x:v>0.41374045801526715</x:v>
      </x:c>
      <x:c r="I17" s="9"/>
      <x:c r="J17" s="10"/>
      <x:c r="K17" s="9"/>
      <x:c r="L17" s="10"/>
      <x:c r="M17" s="9"/>
      <x:c r="N17" s="10"/>
    </x:row>
    <x:row r="18" ht="25" customHeight="1">
      <x:c r="B18" s="2" t="str">
        <x:v>꾸준형</x:v>
      </x:c>
      <x:c r="C18" s="21" t="d">
        <x:v>2013-03-11T00:00:00.000Z</x:v>
      </x:c>
      <x:c r="D18" s="9" t="n">
        <x:v>583</x:v>
      </x:c>
      <x:c r="E18" s="9" t="n">
        <x:v>583</x:v>
      </x:c>
      <x:c r="F18" s="10" t="n">
        <x:f>E18/D18</x:f>
        <x:v>1</x:v>
      </x:c>
      <x:c r="G18" s="9"/>
      <x:c r="H18" s="10"/>
      <x:c r="I18" s="9"/>
      <x:c r="J18" s="10"/>
      <x:c r="K18" s="9"/>
      <x:c r="L18" s="10"/>
      <x:c r="M18" s="9"/>
      <x:c r="N18" s="10"/>
    </x:row>
    <x:row r="19" ht="25" customHeight="1">
      <x:c r="B19" s="2" t="str">
        <x:v>습관 형성형</x:v>
      </x:c>
      <x:c r="C19" s="21" t="d">
        <x:v>2013-03-08T00:00:00.000Z</x:v>
      </x:c>
      <x:c r="D19" s="9" t="n">
        <x:v>4106</x:v>
      </x:c>
      <x:c r="E19" s="9" t="n">
        <x:v>4106</x:v>
      </x:c>
      <x:c r="F19" s="10" t="n">
        <x:f>E19/D19</x:f>
        <x:v>1</x:v>
      </x:c>
      <x:c r="G19" s="9" t="n">
        <x:v>1366</x:v>
      </x:c>
      <x:c r="H19" s="10" t="n">
        <x:f>G19/D19</x:f>
        <x:v>0.3326838772528008</x:v>
      </x:c>
      <x:c r="I19" s="9" t="n">
        <x:v>1193</x:v>
      </x:c>
      <x:c r="J19" s="10" t="n">
        <x:f>I19/D19</x:f>
        <x:v>0.2905504140282513</x:v>
      </x:c>
      <x:c r="K19" s="9" t="n">
        <x:v>1441</x:v>
      </x:c>
      <x:c r="L19" s="10" t="n">
        <x:f>K19/D19</x:f>
        <x:v>0.35094982951777887</x:v>
      </x:c>
      <x:c r="M19" s="9" t="n">
        <x:v>1941</x:v>
      </x:c>
      <x:c r="N19" s="10" t="n">
        <x:f>M19/D19</x:f>
        <x:v>0.47272284461763275</x:v>
      </x:c>
    </x:row>
    <x:row r="20" ht="25" customHeight="1">
      <x:c r="B20" s="2" t="str">
        <x:v>습관 형성형</x:v>
      </x:c>
      <x:c r="C20" s="21" t="d">
        <x:v>2013-03-09T00:00:00.000Z</x:v>
      </x:c>
      <x:c r="D20" s="9" t="n">
        <x:v>1573</x:v>
      </x:c>
      <x:c r="E20" s="9" t="n">
        <x:v>1573</x:v>
      </x:c>
      <x:c r="F20" s="10" t="n">
        <x:f>E20/D20</x:f>
        <x:v>1</x:v>
      </x:c>
      <x:c r="G20" s="9" t="n">
        <x:v>500</x:v>
      </x:c>
      <x:c r="H20" s="10" t="n">
        <x:f>G20/D20</x:f>
        <x:v>0.3178639542275906</x:v>
      </x:c>
      <x:c r="I20" s="9" t="n">
        <x:v>466</x:v>
      </x:c>
      <x:c r="J20" s="10" t="n">
        <x:f>I20/D20</x:f>
        <x:v>0.29624920534011445</x:v>
      </x:c>
      <x:c r="K20" s="9"/>
      <x:c r="L20" s="10"/>
      <x:c r="M20" s="9" t="n">
        <x:v>763</x:v>
      </x:c>
      <x:c r="N20" s="10" t="n">
        <x:f>M20/D20</x:f>
        <x:v>0.48506039415130325</x:v>
      </x:c>
    </x:row>
    <x:row r="21" ht="25" customHeight="1">
      <x:c r="B21" s="2" t="str">
        <x:v>습관 형성형</x:v>
      </x:c>
      <x:c r="C21" s="21" t="d">
        <x:v>2013-03-10T00:00:00.000Z</x:v>
      </x:c>
      <x:c r="D21" s="9" t="n">
        <x:v>971</x:v>
      </x:c>
      <x:c r="E21" s="9" t="n">
        <x:v>971</x:v>
      </x:c>
      <x:c r="F21" s="10" t="n">
        <x:f>E21/D21</x:f>
        <x:v>1</x:v>
      </x:c>
      <x:c r="G21" s="9" t="n">
        <x:v>267</x:v>
      </x:c>
      <x:c r="H21" s="10" t="n">
        <x:f>G21/D21</x:f>
        <x:v>0.2749742533470649</x:v>
      </x:c>
      <x:c r="I21" s="9"/>
      <x:c r="J21" s="10"/>
      <x:c r="K21" s="9"/>
      <x:c r="L21" s="10"/>
      <x:c r="M21" s="9"/>
      <x:c r="N21" s="10"/>
    </x:row>
    <x:row r="22" ht="25" customHeight="1">
      <x:c r="B22" s="2" t="str">
        <x:v>습관 형성형</x:v>
      </x:c>
      <x:c r="C22" s="21" t="d">
        <x:v>2013-03-11T00:00:00.000Z</x:v>
      </x:c>
      <x:c r="D22" s="9" t="n">
        <x:v>958</x:v>
      </x:c>
      <x:c r="E22" s="9" t="n">
        <x:v>958</x:v>
      </x:c>
      <x:c r="F22" s="10" t="n">
        <x:f>E22/D22</x:f>
        <x:v>1</x:v>
      </x:c>
      <x:c r="G22" s="9"/>
      <x:c r="H22" s="10"/>
      <x:c r="I22" s="9"/>
      <x:c r="J22" s="10"/>
      <x:c r="K22" s="9"/>
      <x:c r="L22" s="10"/>
      <x:c r="M22" s="9"/>
      <x:c r="N22" s="10"/>
    </x:row>
    <x:row r="23" ht="25" customHeight="1">
      <x:c r="B23" s="2" t="str">
        <x:v>최근 단발형</x:v>
      </x:c>
      <x:c r="C23" s="21" t="d">
        <x:v>2013-03-08T00:00:00.000Z</x:v>
      </x:c>
      <x:c r="D23" s="9" t="n">
        <x:v>2636</x:v>
      </x:c>
      <x:c r="E23" s="9" t="n">
        <x:v>2636</x:v>
      </x:c>
      <x:c r="F23" s="10" t="n">
        <x:f>E23/D23</x:f>
        <x:v>1</x:v>
      </x:c>
      <x:c r="G23" s="9" t="n">
        <x:v>708</x:v>
      </x:c>
      <x:c r="H23" s="10" t="n">
        <x:f>G23/D23</x:f>
        <x:v>0.26858877086494687</x:v>
      </x:c>
      <x:c r="I23" s="9" t="n">
        <x:v>586</x:v>
      </x:c>
      <x:c r="J23" s="10" t="n">
        <x:f>I23/D23</x:f>
        <x:v>0.22230652503793627</x:v>
      </x:c>
      <x:c r="K23" s="9" t="n">
        <x:v>690</x:v>
      </x:c>
      <x:c r="L23" s="10" t="n">
        <x:f>K23/D23</x:f>
        <x:v>0.26176024279210924</x:v>
      </x:c>
      <x:c r="M23" s="9" t="n">
        <x:v>1006</x:v>
      </x:c>
      <x:c r="N23" s="10" t="n">
        <x:f>M23/D23</x:f>
        <x:v>0.38163884673748105</x:v>
      </x:c>
    </x:row>
    <x:row r="24" ht="25" customHeight="1">
      <x:c r="B24" s="2" t="str">
        <x:v>최근 단발형</x:v>
      </x:c>
      <x:c r="C24" s="21" t="d">
        <x:v>2013-03-09T00:00:00.000Z</x:v>
      </x:c>
      <x:c r="D24" s="9" t="n">
        <x:v>1041</x:v>
      </x:c>
      <x:c r="E24" s="9" t="n">
        <x:v>1041</x:v>
      </x:c>
      <x:c r="F24" s="10" t="n">
        <x:f>E24/D24</x:f>
        <x:v>1</x:v>
      </x:c>
      <x:c r="G24" s="9" t="n">
        <x:v>247</x:v>
      </x:c>
      <x:c r="H24" s="10" t="n">
        <x:f>G24/D24</x:f>
        <x:v>0.2372718539865514</x:v>
      </x:c>
      <x:c r="I24" s="9" t="n">
        <x:v>246</x:v>
      </x:c>
      <x:c r="J24" s="10" t="n">
        <x:f>I24/D24</x:f>
        <x:v>0.23631123919308358</x:v>
      </x:c>
      <x:c r="K24" s="9"/>
      <x:c r="L24" s="10"/>
      <x:c r="M24" s="9" t="n">
        <x:v>400</x:v>
      </x:c>
      <x:c r="N24" s="10" t="n">
        <x:f>M24/D24</x:f>
        <x:v>0.38424591738712777</x:v>
      </x:c>
    </x:row>
    <x:row r="25" ht="25" customHeight="1">
      <x:c r="B25" s="2" t="str">
        <x:v>최근 단발형</x:v>
      </x:c>
      <x:c r="C25" s="21" t="d">
        <x:v>2013-03-10T00:00:00.000Z</x:v>
      </x:c>
      <x:c r="D25" s="9" t="n">
        <x:v>667</x:v>
      </x:c>
      <x:c r="E25" s="9" t="n">
        <x:v>667</x:v>
      </x:c>
      <x:c r="F25" s="10" t="n">
        <x:f>E25/D25</x:f>
        <x:v>1</x:v>
      </x:c>
      <x:c r="G25" s="9" t="n">
        <x:v>164</x:v>
      </x:c>
      <x:c r="H25" s="10" t="n">
        <x:f>G25/D25</x:f>
        <x:v>0.24587706146926536</x:v>
      </x:c>
      <x:c r="I25" s="9"/>
      <x:c r="J25" s="10"/>
      <x:c r="K25" s="9"/>
      <x:c r="L25" s="10"/>
      <x:c r="M25" s="9"/>
      <x:c r="N25" s="10"/>
    </x:row>
    <x:row r="26" ht="25" customHeight="1">
      <x:c r="B26" s="2" t="str">
        <x:v>최근 단발형</x:v>
      </x:c>
      <x:c r="C26" s="21" t="d">
        <x:v>2013-03-11T00:00:00.000Z</x:v>
      </x:c>
      <x:c r="D26" s="9" t="n">
        <x:v>662</x:v>
      </x:c>
      <x:c r="E26" s="9" t="n">
        <x:v>662</x:v>
      </x:c>
      <x:c r="F26" s="10" t="n">
        <x:f>E26/D26</x:f>
        <x:v>1</x:v>
      </x:c>
      <x:c r="G26" s="9"/>
      <x:c r="H26" s="10"/>
      <x:c r="I26" s="9"/>
      <x:c r="J26" s="10"/>
      <x:c r="K26" s="9"/>
      <x:c r="L26" s="10"/>
      <x:c r="M26" s="9"/>
      <x:c r="N26" s="10"/>
    </x:row>
    <x:row r="27" ht="25" customHeight="1">
      <x:c r="B27" s="2" t="str">
        <x:v>멈춤-꾸준형</x:v>
      </x:c>
      <x:c r="C27" s="21" t="d">
        <x:v>2013-03-08T00:00:00.000Z</x:v>
      </x:c>
      <x:c r="D27" s="9" t="n">
        <x:v>732</x:v>
      </x:c>
      <x:c r="E27" s="9" t="n">
        <x:v>732</x:v>
      </x:c>
      <x:c r="F27" s="10" t="n">
        <x:f>E27/D27</x:f>
        <x:v>1</x:v>
      </x:c>
      <x:c r="G27" s="9" t="n">
        <x:v>291</x:v>
      </x:c>
      <x:c r="H27" s="10" t="n">
        <x:f>G27/D27</x:f>
        <x:v>0.3975409836065574</x:v>
      </x:c>
      <x:c r="I27" s="9" t="n">
        <x:v>261</x:v>
      </x:c>
      <x:c r="J27" s="10" t="n">
        <x:f>I27/D27</x:f>
        <x:v>0.35655737704918034</x:v>
      </x:c>
      <x:c r="K27" s="9" t="n">
        <x:v>250</x:v>
      </x:c>
      <x:c r="L27" s="10" t="n">
        <x:f>K27/D27</x:f>
        <x:v>0.34153005464480873</x:v>
      </x:c>
      <x:c r="M27" s="9" t="n">
        <x:v>410</x:v>
      </x:c>
      <x:c r="N27" s="10" t="n">
        <x:f>M27/D27</x:f>
        <x:v>0.5601092896174863</x:v>
      </x:c>
    </x:row>
    <x:row r="28" ht="25" customHeight="1">
      <x:c r="B28" s="2" t="str">
        <x:v>멈춤-꾸준형</x:v>
      </x:c>
      <x:c r="C28" s="21" t="d">
        <x:v>2013-03-09T00:00:00.000Z</x:v>
      </x:c>
      <x:c r="D28" s="9" t="n">
        <x:v>426</x:v>
      </x:c>
      <x:c r="E28" s="9" t="n">
        <x:v>426</x:v>
      </x:c>
      <x:c r="F28" s="10" t="n">
        <x:f>E28/D28</x:f>
        <x:v>1</x:v>
      </x:c>
      <x:c r="G28" s="9" t="n">
        <x:v>157</x:v>
      </x:c>
      <x:c r="H28" s="10" t="n">
        <x:f>G28/D28</x:f>
        <x:v>0.3685446009389671</x:v>
      </x:c>
      <x:c r="I28" s="9" t="n">
        <x:v>140</x:v>
      </x:c>
      <x:c r="J28" s="10" t="n">
        <x:f>I28/D28</x:f>
        <x:v>0.3286384976525822</x:v>
      </x:c>
      <x:c r="K28" s="9"/>
      <x:c r="L28" s="10"/>
      <x:c r="M28" s="9" t="n">
        <x:v>223</x:v>
      </x:c>
      <x:c r="N28" s="10" t="n">
        <x:f>M28/D28</x:f>
        <x:v>0.5234741784037559</x:v>
      </x:c>
    </x:row>
    <x:row r="29" ht="25" customHeight="1">
      <x:c r="B29" s="2" t="str">
        <x:v>멈춤-꾸준형</x:v>
      </x:c>
      <x:c r="C29" s="21" t="d">
        <x:v>2013-03-10T00:00:00.000Z</x:v>
      </x:c>
      <x:c r="D29" s="9" t="n">
        <x:v>267</x:v>
      </x:c>
      <x:c r="E29" s="9" t="n">
        <x:v>267</x:v>
      </x:c>
      <x:c r="F29" s="10" t="n">
        <x:f>E29/D29</x:f>
        <x:v>1</x:v>
      </x:c>
      <x:c r="G29" s="9" t="n">
        <x:v>91</x:v>
      </x:c>
      <x:c r="H29" s="10" t="n">
        <x:f>G29/D29</x:f>
        <x:v>0.3408239700374532</x:v>
      </x:c>
      <x:c r="I29" s="9"/>
      <x:c r="J29" s="10"/>
      <x:c r="K29" s="9"/>
      <x:c r="L29" s="10"/>
      <x:c r="M29" s="9"/>
      <x:c r="N29" s="10"/>
    </x:row>
    <x:row r="30" ht="25" customHeight="1">
      <x:c r="B30" s="2" t="str">
        <x:v>멈춤-꾸준형</x:v>
      </x:c>
      <x:c r="C30" s="21" t="d">
        <x:v>2013-03-11T00:00:00.000Z</x:v>
      </x:c>
      <x:c r="D30" s="9" t="n">
        <x:v>233</x:v>
      </x:c>
      <x:c r="E30" s="9" t="n">
        <x:v>233</x:v>
      </x:c>
      <x:c r="F30" s="10" t="n">
        <x:f>E30/D30</x:f>
        <x:v>1</x:v>
      </x:c>
      <x:c r="G30" s="9"/>
      <x:c r="H30" s="10"/>
      <x:c r="I30" s="9"/>
      <x:c r="J30" s="10"/>
      <x:c r="K30" s="9"/>
      <x:c r="L30" s="10"/>
      <x:c r="M30" s="9"/>
      <x:c r="N30" s="10"/>
    </x:row>
    <x:row r="31" ht="25" customHeight="1">
      <x:c r="B31" s="2" t="str">
        <x:v>멈춤-몰입형</x:v>
      </x:c>
      <x:c r="C31" s="21" t="d">
        <x:v>2013-03-08T00:00:00.000Z</x:v>
      </x:c>
      <x:c r="D31" s="9" t="n">
        <x:v>924</x:v>
      </x:c>
      <x:c r="E31" s="9" t="n">
        <x:v>924</x:v>
      </x:c>
      <x:c r="F31" s="10" t="n">
        <x:f>E31/D31</x:f>
        <x:v>1</x:v>
      </x:c>
      <x:c r="G31" s="9" t="n">
        <x:v>240</x:v>
      </x:c>
      <x:c r="H31" s="10" t="n">
        <x:f>G31/D31</x:f>
        <x:v>0.2597402597402597</x:v>
      </x:c>
      <x:c r="I31" s="9" t="n">
        <x:v>214</x:v>
      </x:c>
      <x:c r="J31" s="10" t="n">
        <x:f>I31/D31</x:f>
        <x:v>0.23160173160173161</x:v>
      </x:c>
      <x:c r="K31" s="9" t="n">
        <x:v>214</x:v>
      </x:c>
      <x:c r="L31" s="10" t="n">
        <x:f>K31/D31</x:f>
        <x:v>0.23160173160173161</x:v>
      </x:c>
      <x:c r="M31" s="9" t="n">
        <x:v>356</x:v>
      </x:c>
      <x:c r="N31" s="10" t="n">
        <x:f>M31/D31</x:f>
        <x:v>0.3852813852813853</x:v>
      </x:c>
    </x:row>
    <x:row r="32" ht="25" customHeight="1">
      <x:c r="B32" s="2" t="str">
        <x:v>멈춤-몰입형</x:v>
      </x:c>
      <x:c r="C32" s="21" t="d">
        <x:v>2013-03-09T00:00:00.000Z</x:v>
      </x:c>
      <x:c r="D32" s="9" t="n">
        <x:v>602</x:v>
      </x:c>
      <x:c r="E32" s="9" t="n">
        <x:v>602</x:v>
      </x:c>
      <x:c r="F32" s="10" t="n">
        <x:f>E32/D32</x:f>
        <x:v>1</x:v>
      </x:c>
      <x:c r="G32" s="9" t="n">
        <x:v>178</x:v>
      </x:c>
      <x:c r="H32" s="10" t="n">
        <x:f>G32/D32</x:f>
        <x:v>0.2956810631229236</x:v>
      </x:c>
      <x:c r="I32" s="9" t="n">
        <x:v>135</x:v>
      </x:c>
      <x:c r="J32" s="10" t="n">
        <x:f>I32/D32</x:f>
        <x:v>0.22425249169435216</x:v>
      </x:c>
      <x:c r="K32" s="9"/>
      <x:c r="L32" s="10"/>
      <x:c r="M32" s="9" t="n">
        <x:v>255</x:v>
      </x:c>
      <x:c r="N32" s="10" t="n">
        <x:f>M32/D32</x:f>
        <x:v>0.42358803986710963</x:v>
      </x:c>
    </x:row>
    <x:row r="33" ht="25" customHeight="1">
      <x:c r="B33" s="2" t="str">
        <x:v>멈춤-몰입형</x:v>
      </x:c>
      <x:c r="C33" s="21" t="d">
        <x:v>2013-03-10T00:00:00.000Z</x:v>
      </x:c>
      <x:c r="D33" s="9" t="n">
        <x:v>484</x:v>
      </x:c>
      <x:c r="E33" s="9" t="n">
        <x:v>484</x:v>
      </x:c>
      <x:c r="F33" s="10" t="n">
        <x:f>E33/D33</x:f>
        <x:v>1</x:v>
      </x:c>
      <x:c r="G33" s="9" t="n">
        <x:v>128</x:v>
      </x:c>
      <x:c r="H33" s="10" t="n">
        <x:f>G33/D33</x:f>
        <x:v>0.2644628099173554</x:v>
      </x:c>
      <x:c r="I33" s="9"/>
      <x:c r="J33" s="10"/>
      <x:c r="K33" s="9"/>
      <x:c r="L33" s="10"/>
      <x:c r="M33" s="9"/>
      <x:c r="N33" s="10"/>
    </x:row>
    <x:row r="34" ht="25" customHeight="1">
      <x:c r="B34" s="2" t="str">
        <x:v>멈춤-몰입형</x:v>
      </x:c>
      <x:c r="C34" s="21" t="d">
        <x:v>2013-03-11T00:00:00.000Z</x:v>
      </x:c>
      <x:c r="D34" s="9" t="n">
        <x:v>446</x:v>
      </x:c>
      <x:c r="E34" s="9" t="n">
        <x:v>446</x:v>
      </x:c>
      <x:c r="F34" s="10" t="n">
        <x:f>E34/D34</x:f>
        <x:v>1</x:v>
      </x:c>
      <x:c r="G34" s="9"/>
      <x:c r="H34" s="10"/>
      <x:c r="I34" s="9"/>
      <x:c r="J34" s="10"/>
      <x:c r="K34" s="9"/>
      <x:c r="L34" s="10"/>
      <x:c r="M34" s="9"/>
      <x:c r="N34" s="10"/>
    </x:row>
    <x:row r="35" ht="25" customHeight="1">
      <x:c r="B35" s="2" t="str">
        <x:v>멈춤-저활동형</x:v>
      </x:c>
      <x:c r="C35" s="21" t="d">
        <x:v>2013-03-08T00:00:00.000Z</x:v>
      </x:c>
      <x:c r="D35" s="9" t="n">
        <x:v>1846</x:v>
      </x:c>
      <x:c r="E35" s="9" t="n">
        <x:v>1846</x:v>
      </x:c>
      <x:c r="F35" s="10" t="n">
        <x:f>E35/D35</x:f>
        <x:v>1</x:v>
      </x:c>
      <x:c r="G35" s="9" t="n">
        <x:v>352</x:v>
      </x:c>
      <x:c r="H35" s="10" t="n">
        <x:f>G35/D35</x:f>
        <x:v>0.19068255687973998</x:v>
      </x:c>
      <x:c r="I35" s="9" t="n">
        <x:v>348</x:v>
      </x:c>
      <x:c r="J35" s="10" t="n">
        <x:f>I35/D35</x:f>
        <x:v>0.18851570964247022</x:v>
      </x:c>
      <x:c r="K35" s="9" t="n">
        <x:v>348</x:v>
      </x:c>
      <x:c r="L35" s="10" t="n">
        <x:f>K35/D35</x:f>
        <x:v>0.18851570964247022</x:v>
      </x:c>
      <x:c r="M35" s="9" t="n">
        <x:v>568</x:v>
      </x:c>
      <x:c r="N35" s="10" t="n">
        <x:f>M35/D35</x:f>
        <x:v>0.3076923076923077</x:v>
      </x:c>
    </x:row>
    <x:row r="36" ht="25" customHeight="1">
      <x:c r="B36" s="2" t="str">
        <x:v>멈춤-저활동형</x:v>
      </x:c>
      <x:c r="C36" s="21" t="d">
        <x:v>2013-03-09T00:00:00.000Z</x:v>
      </x:c>
      <x:c r="D36" s="9" t="n">
        <x:v>1304</x:v>
      </x:c>
      <x:c r="E36" s="9" t="n">
        <x:v>1304</x:v>
      </x:c>
      <x:c r="F36" s="10" t="n">
        <x:f>E36/D36</x:f>
        <x:v>1</x:v>
      </x:c>
      <x:c r="G36" s="9" t="n">
        <x:v>340</x:v>
      </x:c>
      <x:c r="H36" s="10" t="n">
        <x:f>G36/D36</x:f>
        <x:v>0.2607361963190184</x:v>
      </x:c>
      <x:c r="I36" s="9" t="n">
        <x:v>236</x:v>
      </x:c>
      <x:c r="J36" s="10" t="n">
        <x:f>I36/D36</x:f>
        <x:v>0.18098159509202455</x:v>
      </x:c>
      <x:c r="K36" s="9"/>
      <x:c r="L36" s="10"/>
      <x:c r="M36" s="9" t="n">
        <x:v>464</x:v>
      </x:c>
      <x:c r="N36" s="10" t="n">
        <x:f>M36/D36</x:f>
        <x:v>0.3558282208588957</x:v>
      </x:c>
    </x:row>
    <x:row r="37" ht="25" customHeight="1">
      <x:c r="B37" s="2" t="str">
        <x:v>멈춤-저활동형</x:v>
      </x:c>
      <x:c r="C37" s="21" t="d">
        <x:v>2013-03-10T00:00:00.000Z</x:v>
      </x:c>
      <x:c r="D37" s="9" t="n">
        <x:v>1183</x:v>
      </x:c>
      <x:c r="E37" s="9" t="n">
        <x:v>1183</x:v>
      </x:c>
      <x:c r="F37" s="10" t="n">
        <x:f>E37/D37</x:f>
        <x:v>1</x:v>
      </x:c>
      <x:c r="G37" s="9" t="n">
        <x:v>223</x:v>
      </x:c>
      <x:c r="H37" s="10" t="n">
        <x:f>G37/D37</x:f>
        <x:v>0.18850380388841928</x:v>
      </x:c>
      <x:c r="I37" s="9"/>
      <x:c r="J37" s="10"/>
      <x:c r="K37" s="9"/>
      <x:c r="L37" s="10"/>
      <x:c r="M37" s="9"/>
      <x:c r="N37" s="10"/>
    </x:row>
    <x:row r="38" ht="25" customHeight="1">
      <x:c r="B38" s="2" t="str">
        <x:v>멈춤-저활동형</x:v>
      </x:c>
      <x:c r="C38" s="21" t="d">
        <x:v>2013-03-11T00:00:00.000Z</x:v>
      </x:c>
      <x:c r="D38" s="9" t="n">
        <x:v>1044</x:v>
      </x:c>
      <x:c r="E38" s="9" t="n">
        <x:v>1044</x:v>
      </x:c>
      <x:c r="F38" s="10" t="n">
        <x:f>E38/D38</x:f>
        <x:v>1</x:v>
      </x:c>
      <x:c r="G38" s="9"/>
      <x:c r="H38" s="10"/>
      <x:c r="I38" s="9"/>
      <x:c r="J38" s="10"/>
      <x:c r="K38" s="9"/>
      <x:c r="L38" s="10"/>
      <x:c r="M38" s="9"/>
      <x:c r="N38" s="10"/>
    </x:row>
    <x:row r="39" ht="25" customHeight="1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5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5" customHeight="1">
      <x:c r="B41" s="2" t="str">
        <x:v>빈칸은 미관측입니다. 예: 3/10 복귀자의 D+2는 추적 종료 뒤라 계산하지 않습니다.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5" customHeight="1">
      <x:c r="B42" s="2" t="str">
        <x:v>복귀자만 포함하므로 전체 기준집단의 이탈 규모는 세그먼트 요약과 함께 봅니다.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5" customHeight="1">
      <x:c r="B43" s="2" t="str">
        <x:v>복귀일별 인원은 모든 세그먼트에서 합치면 전체 재학습자 29,240명입니다.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5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5" customHeight="1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5" customHeight="1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5" customHeight="1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5" customHeight="1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5" customHeight="1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5" customHeight="1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5" customHeight="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5" customHeight="1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5" customHeight="1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5" customHeight="1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5" customHeight="1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5" customHeight="1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5" customHeight="1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5" customHeight="1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5" customHeight="1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5" customHeight="1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5" customHeight="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5" customHeight="1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5" customHeight="1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5" customHeight="1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5" customHeight="1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5" customHeight="1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5" customHeight="1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5" customHeight="1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5" customHeight="1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5" customHeight="1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5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5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5" customHeight="1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5" customHeight="1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5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5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5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5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5" customHeight="1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5" customHeight="1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5" customHeight="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5" customHeight="1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5" customHeight="1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5" customHeight="1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5" customHeight="1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5" customHeight="1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5" customHeight="1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5" customHeight="1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5" customHeight="1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5" customHeight="1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</x:sheetData>
  <x:conditionalFormatting sqref="F7:F10">
    <x:cfRule type="colorScale" priority="1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conditionalFormatting sqref="H7:H10">
    <x:cfRule type="colorScale" priority="2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conditionalFormatting sqref="J7:J10">
    <x:cfRule type="colorScale" priority="3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conditionalFormatting sqref="L7:L10">
    <x:cfRule type="colorScale" priority="4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conditionalFormatting sqref="F15:F38">
    <x:cfRule type="colorScale" priority="5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conditionalFormatting sqref="H15:H38">
    <x:cfRule type="colorScale" priority="6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conditionalFormatting sqref="J15:J38">
    <x:cfRule type="colorScale" priority="7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conditionalFormatting sqref="L15:L38">
    <x:cfRule type="colorScale" priority="8">
      <x:colorScale>
        <x:cfvo type="num" val="0"/>
        <x:cfvo type="num" val="0.5"/>
        <x:cfvo type="num" val="1"/>
        <x:color rgb="FFF2F6FA"/>
        <x:color rgb="FFC7D9E8"/>
        <x:color rgb="FF87B1D0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7" hidden="0" customWidth="1"/>
    <x:col min="3" max="3" width="92" hidden="0" customWidth="1"/>
    <x:col min="4" max="4" width="26" hidden="0" customWidth="1"/>
    <x:col min="5" max="5" width="26" hidden="0" customWidth="1"/>
    <x:col min="6" max="6" width="26" hidden="0" customWidth="1"/>
  </x:cols>
  <x:sheetData>
    <x:row r="2" ht="25" customHeight="1">
      <x:c r="B2" s="3" t="str">
        <x:v>분석 기준과 이탈방지 실험 제안</x:v>
      </x:c>
      <x:c r="C2" s="2"/>
      <x:c r="D2" s="2"/>
      <x:c r="E2" s="2"/>
      <x:c r="F2" s="2"/>
    </x:row>
    <x:row r="3" ht="25" customHeight="1">
      <x:c r="B3" s="4"/>
      <x:c r="C3" s="4"/>
      <x:c r="D3" s="4"/>
      <x:c r="E3" s="4"/>
      <x:c r="F3" s="4"/>
    </x:row>
    <x:row r="4" ht="25" customHeight="1">
      <x:c r="B4" s="2"/>
      <x:c r="C4" s="2"/>
      <x:c r="D4" s="2"/>
      <x:c r="E4" s="2"/>
      <x:c r="F4" s="2"/>
    </x:row>
    <x:row r="5" ht="25" customHeight="1">
      <x:c r="B5" s="2"/>
      <x:c r="C5" s="2"/>
      <x:c r="D5" s="2"/>
      <x:c r="E5" s="2"/>
      <x:c r="F5" s="2"/>
    </x:row>
    <x:row r="6" ht="43" customHeight="1">
      <x:c r="B6" s="8" t="str">
        <x:v>항목</x:v>
      </x:c>
      <x:c r="C6" s="8" t="str">
        <x:v>내용</x:v>
      </x:c>
      <x:c r="D6" s="2"/>
      <x:c r="E6" s="2"/>
      <x:c r="F6" s="2"/>
    </x:row>
    <x:row r="7" ht="25" customHeight="1">
      <x:c r="B7" s="2" t="str">
        <x:v>집단 정의</x:v>
      </x:c>
      <x:c r="C7" s="2" t="str">
        <x:v>수정 코드의 6개 세그먼트; 3/1~7 정보로 확정</x:v>
      </x:c>
      <x:c r="D7" s="2"/>
      <x:c r="E7" s="2"/>
      <x:c r="F7" s="2"/>
    </x:row>
    <x:row r="8" ht="25" customHeight="1">
      <x:c r="B8" s="2" t="str">
        <x:v>집단 유지</x:v>
      </x:c>
      <x:c r="C8" s="2" t="str">
        <x:v>3/8~11의 결과로 세그먼트를 재배정하지 않음</x:v>
      </x:c>
      <x:c r="D8" s="2"/>
      <x:c r="E8" s="2"/>
      <x:c r="F8" s="2"/>
    </x:row>
    <x:row r="9" ht="25" customHeight="1">
      <x:c r="B9" s="2" t="str">
        <x:v>단기 반복 학습</x:v>
      </x:c>
      <x:c r="C9" s="2" t="str">
        <x:v>서로 다른 날짜에 2일 이상 학습; 연속 학습 조건 없음</x:v>
      </x:c>
      <x:c r="D9" s="2"/>
      <x:c r="E9" s="2"/>
      <x:c r="F9" s="2"/>
    </x:row>
    <x:row r="10" ht="25" customHeight="1">
      <x:c r="B10" s="2" t="str">
        <x:v>복귀일 코호트</x:v>
      </x:c>
      <x:c r="C10" s="2" t="str">
        <x:v>이후 기간의 첫 재학습일이 같은 사용자; D0는 복귀일</x:v>
      </x:c>
      <x:c r="D10" s="2"/>
      <x:c r="E10" s="2"/>
      <x:c r="F10" s="2"/>
    </x:row>
    <x:row r="11" ht="25" customHeight="1">
      <x:c r="B11" s="2" t="str">
        <x:v>미관측 처리</x:v>
      </x:c>
      <x:c r="C11" s="2" t="str">
        <x:v>3/11 이후의 경과일은 빈칸; 미활동 0%와 구분</x:v>
      </x:c>
      <x:c r="D11" s="2"/>
      <x:c r="E11" s="2"/>
      <x:c r="F11" s="2"/>
    </x:row>
    <x:row r="12" ht="25" customHeight="1">
      <x:c r="B12" s="2" t="str">
        <x:v>3일 비활동 신호</x:v>
      </x:c>
      <x:c r="C12" s="2" t="str">
        <x:v>마지막 학습일 이후 3개 이상 연속 달력 날짜에 기록 없음</x:v>
      </x:c>
      <x:c r="D12" s="2"/>
      <x:c r="E12" s="2"/>
      <x:c r="F12" s="2"/>
    </x:row>
    <x:row r="13" ht="25" customHeight="1">
      <x:c r="B13" s="2" t="str">
        <x:v>신호 시작점</x:v>
      </x:c>
      <x:c r="C13" s="2" t="str">
        <x:v>기준일 이전 마지막 활동도 사용; 이미 쉬던 사용자 포함</x:v>
      </x:c>
      <x:c r="D13" s="2"/>
      <x:c r="E13" s="2"/>
      <x:c r="F13" s="2"/>
    </x:row>
    <x:row r="14" ht="25" customHeight="1">
      <x:c r="B14" s="2" t="str">
        <x:v>2일 기준 비교</x:v>
      </x:c>
      <x:c r="C14" s="2" t="str">
        <x:v>분석표에 함께 제공; 임계값의 민감도를 확인</x:v>
      </x:c>
      <x:c r="D14" s="2"/>
      <x:c r="E14" s="2"/>
      <x:c r="F14" s="2"/>
    </x:row>
    <x:row r="15" ht="25" customHeight="1">
      <x:c r="B15" s="2" t="str">
        <x:v>조건부 분모</x:v>
      </x:c>
      <x:c r="C15" s="2" t="str">
        <x:v>D+1: 첫 복귀 3/8~10; 2일 내 반복: 첫 복귀 3/8~9</x:v>
      </x:c>
      <x:c r="D15" s="2"/>
      <x:c r="E15" s="2"/>
      <x:c r="F15" s="2"/>
    </x:row>
    <x:row r="16" ht="25" customHeight="1">
      <x:c r="B16" s="2" t="str">
        <x:v>매출 해석</x:v>
      </x:c>
      <x:c r="C16" s="2" t="str">
        <x:v>학습량은 어휘 노출 횟수이며 매출·고유 문제 수가 아님</x:v>
      </x:c>
      <x:c r="D16" s="2"/>
      <x:c r="E16" s="2"/>
      <x:c r="F16" s="2"/>
    </x:row>
    <x:row r="17" ht="25" customHeight="1">
      <x:c r="B17" s="2" t="str">
        <x:v>관측 한계</x:v>
      </x:c>
      <x:c r="C17" s="2" t="str">
        <x:v>4일 추적으로 장기 이탈·D7 리텐션·개입 효과를 확정하지 않음</x:v>
      </x:c>
      <x:c r="D17" s="2"/>
      <x:c r="E17" s="2"/>
      <x:c r="F17" s="2"/>
    </x:row>
    <x:row r="18" ht="25" customHeight="1">
      <x:c r="B18" s="2" t="str">
        <x:v>NSM 연결</x:v>
      </x:c>
      <x:c r="C18" s="2" t="str">
        <x:v>후속 실험의 목표는 7일 중 4일 이상 학습 비율</x:v>
      </x:c>
      <x:c r="D18" s="2"/>
      <x:c r="E18" s="2"/>
      <x:c r="F18" s="2"/>
    </x:row>
    <x:row r="19" ht="25" customHeight="1">
      <x:c r="B19" s="2" t="str">
        <x:v>M 점수 변경</x:v>
      </x:c>
      <x:c r="C19" s="2" t="str">
        <x:v>rank(method="first") 제거; 동일 학습량은 동일 M 점수</x:v>
      </x:c>
      <x:c r="D19" s="2"/>
      <x:c r="E19" s="2"/>
      <x:c r="F19" s="2"/>
    </x:row>
    <x:row r="20" ht="25" customHeight="1">
      <x:c r="B20" s="2" t="str">
        <x:v>M 경계</x:v>
      </x:c>
      <x:c r="C20" s="2" t="str">
        <x:v>1, 24, 53, 108, 239, 최대값; 경계값은 아래 구간 포함</x:v>
      </x:c>
      <x:c r="D20" s="2"/>
      <x:c r="E20" s="2"/>
      <x:c r="F20" s="2"/>
    </x:row>
    <x:row r="21" ht="25" customHeight="1">
      <x:c r="B21" s="2" t="str">
        <x:v>입력 코드</x:v>
      </x:c>
      <x:c r="C21" s="2" t="str">
        <x:v>사용자가 제공한 수정 코드; 실행용 원본 경로만 변경</x:v>
      </x:c>
      <x:c r="D21" s="2"/>
      <x:c r="E21" s="2"/>
      <x:c r="F21" s="2"/>
    </x:row>
    <x:row r="22" ht="25" customHeight="1">
      <x:c r="B22" s="2"/>
      <x:c r="C22" s="2"/>
      <x:c r="D22" s="2"/>
      <x:c r="E22" s="2"/>
      <x:c r="F22" s="2"/>
    </x:row>
    <x:row r="23" ht="25" customHeight="1">
      <x:c r="B23" s="2"/>
      <x:c r="C23" s="2"/>
      <x:c r="D23" s="2"/>
      <x:c r="E23" s="2"/>
      <x:c r="F23" s="2"/>
    </x:row>
    <x:row r="24" ht="25" customHeight="1">
      <x:c r="B24" s="20" t="str">
        <x:v>검증된 변경 사항</x:v>
      </x:c>
      <x:c r="C24" s="2"/>
      <x:c r="D24" s="2"/>
      <x:c r="E24" s="2"/>
      <x:c r="F24" s="2"/>
    </x:row>
    <x:row r="25" ht="25" customHeight="1">
      <x:c r="B25" s="2"/>
      <x:c r="C25" s="2"/>
      <x:c r="D25" s="2"/>
      <x:c r="E25" s="2"/>
      <x:c r="F25" s="2"/>
    </x:row>
    <x:row r="26" ht="43" customHeight="1">
      <x:c r="B26" s="8" t="str">
        <x:v>항목</x:v>
      </x:c>
      <x:c r="C26" s="8" t="str">
        <x:v>결과</x:v>
      </x:c>
      <x:c r="D26" s="2"/>
      <x:c r="E26" s="2"/>
      <x:c r="F26" s="2"/>
    </x:row>
    <x:row r="27" ht="25" customHeight="1">
      <x:c r="B27" s="2" t="str">
        <x:v>대상 사용자 수</x:v>
      </x:c>
      <x:c r="C27" s="9" t="n">
        <x:v>82467</x:v>
      </x:c>
      <x:c r="D27" s="2"/>
      <x:c r="E27" s="2"/>
      <x:c r="F27" s="2"/>
    </x:row>
    <x:row r="28" ht="25" customHeight="1">
      <x:c r="B28" s="2" t="str">
        <x:v>세그먼트 수</x:v>
      </x:c>
      <x:c r="C28" s="9" t="n">
        <x:v>6</x:v>
      </x:c>
      <x:c r="D28" s="2"/>
      <x:c r="E28" s="2"/>
      <x:c r="F28" s="2"/>
    </x:row>
    <x:row r="29" ht="25" customHeight="1">
      <x:c r="B29" s="2" t="str">
        <x:v>명칭 변경 외 재배정 인원</x:v>
      </x:c>
      <x:c r="C29" s="9" t="n">
        <x:v>56</x:v>
      </x:c>
      <x:c r="D29" s="2"/>
      <x:c r="E29" s="2"/>
      <x:c r="F29" s="2"/>
    </x:row>
    <x:row r="30" ht="25" customHeight="1">
      <x:c r="B30" s="2" t="str">
        <x:v>M 점수가 바뀐 인원</x:v>
      </x:c>
      <x:c r="C30" s="9" t="n">
        <x:v>914</x:v>
      </x:c>
      <x:c r="D30" s="2"/>
      <x:c r="E30" s="2"/>
      <x:c r="F30" s="2"/>
    </x:row>
    <x:row r="31" ht="25" customHeight="1">
      <x:c r="B31" s="2" t="str">
        <x:v>M 경계값</x:v>
      </x:c>
      <x:c r="C31" s="2" t="str">
        <x:v>1, 24, 53, 108, 239, 11501</x:v>
      </x:c>
      <x:c r="D31" s="2"/>
      <x:c r="E31" s="2"/>
      <x:c r="F31" s="2"/>
    </x:row>
    <x:row r="32" ht="25" customHeight="1">
      <x:c r="B32" s="2" t="str">
        <x:v>K-means 선택 K</x:v>
      </x:c>
      <x:c r="C32" s="22" t="n">
        <x:v>3</x:v>
      </x:c>
      <x:c r="D32" s="2"/>
      <x:c r="E32" s="2"/>
      <x:c r="F32" s="2"/>
    </x:row>
    <x:row r="33" ht="25" customHeight="1">
      <x:c r="B33" s="2" t="str">
        <x:v>RFM·군집 ARI</x:v>
      </x:c>
      <x:c r="C33" s="23" t="n">
        <x:v>0.6064745610767174</x:v>
      </x:c>
      <x:c r="D33" s="2"/>
      <x:c r="E33" s="2"/>
      <x:c r="F33" s="2"/>
    </x:row>
    <x:row r="34" ht="25" customHeight="1">
      <x:c r="B34" s="2" t="str">
        <x:v>코호트 데이터 검증</x:v>
      </x:c>
      <x:c r="C34" s="2" t="str">
        <x:v>17/17 항목 일치</x:v>
      </x:c>
      <x:c r="D34" s="2"/>
      <x:c r="E34" s="2"/>
      <x:c r="F34" s="2"/>
    </x:row>
    <x:row r="35" ht="25" customHeight="1">
      <x:c r="B35" s="2"/>
      <x:c r="C35" s="2"/>
      <x:c r="D35" s="2"/>
      <x:c r="E35" s="2"/>
      <x:c r="F35" s="2"/>
    </x:row>
    <x:row r="36" ht="25" customHeight="1">
      <x:c r="B36" s="2"/>
      <x:c r="C36" s="2"/>
      <x:c r="D36" s="2"/>
      <x:c r="E36" s="2"/>
      <x:c r="F36" s="2"/>
    </x:row>
    <x:row r="37" ht="25" customHeight="1">
      <x:c r="B37" s="20" t="str">
        <x:v>시점 3/11의 실험 후보 풀 — 역사 데이터에서 산출한 대상 규모</x:v>
      </x:c>
      <x:c r="C37" s="2"/>
      <x:c r="D37" s="2"/>
      <x:c r="E37" s="2"/>
      <x:c r="F37" s="2"/>
    </x:row>
    <x:row r="38" ht="25" customHeight="1">
      <x:c r="B38" s="2"/>
      <x:c r="C38" s="2"/>
      <x:c r="D38" s="2"/>
      <x:c r="E38" s="2"/>
      <x:c r="F38" s="2"/>
    </x:row>
    <x:row r="39" ht="43" customHeight="1">
      <x:c r="B39" s="8" t="str">
        <x:v>대상 풀</x:v>
      </x:c>
      <x:c r="C39" s="8" t="str">
        <x:v>인원</x:v>
      </x:c>
      <x:c r="D39" s="2"/>
      <x:c r="E39" s="2"/>
      <x:c r="F39" s="2"/>
    </x:row>
    <x:row r="40" ht="25" customHeight="1">
      <x:c r="B40" s="2" t="str">
        <x:v>습관 형성형·1~2일 비활동</x:v>
      </x:c>
      <x:c r="C40" s="24" t="n">
        <x:v>2902</x:v>
      </x:c>
      <x:c r="D40" s="2"/>
      <x:c r="E40" s="2"/>
      <x:c r="F40" s="2"/>
    </x:row>
    <x:row r="41" ht="25" customHeight="1">
      <x:c r="B41" s="2" t="str">
        <x:v>습관 형성형·3일 이상 비활동</x:v>
      </x:c>
      <x:c r="C41" s="24" t="n">
        <x:v>8549</x:v>
      </x:c>
      <x:c r="D41" s="2"/>
      <x:c r="E41" s="2"/>
      <x:c r="F41" s="2"/>
    </x:row>
    <x:row r="42" ht="25" customHeight="1">
      <x:c r="B42" s="2" t="str">
        <x:v>기존 학습 이력·3일 이상 비활동</x:v>
      </x:c>
      <x:c r="C42" s="24" t="n">
        <x:v>9520</x:v>
      </x:c>
      <x:c r="D42" s="2"/>
      <x:c r="E42" s="2"/>
      <x:c r="F42" s="2"/>
    </x:row>
    <x:row r="43" ht="25" customHeight="1">
      <x:c r="B43" s="2" t="str">
        <x:v>꾸준형·1~2일 비활동</x:v>
      </x:c>
      <x:c r="C43" s="24" t="n">
        <x:v>2280</x:v>
      </x:c>
      <x:c r="D43" s="2"/>
      <x:c r="E43" s="2"/>
      <x:c r="F43" s="2"/>
    </x:row>
    <x:row r="44" ht="25" customHeight="1">
      <x:c r="B44" s="2"/>
      <x:c r="C44" s="2"/>
      <x:c r="D44" s="2"/>
      <x:c r="E44" s="2"/>
      <x:c r="F44" s="2"/>
    </x:row>
    <x:row r="45" ht="25" customHeight="1">
      <x:c r="B45" s="2"/>
      <x:c r="C45" s="2"/>
      <x:c r="D45" s="2"/>
      <x:c r="E45" s="2"/>
      <x:c r="F45" s="2"/>
    </x:row>
    <x:row r="46" ht="25" customHeight="1">
      <x:c r="B46" s="2" t="str">
        <x:v>습관 형성형: 복귀 직후 다음 학습 일정·주간 진행률 안내를 실험하고 반복 학습을 평가.</x:v>
      </x:c>
      <x:c r="C46" s="2"/>
      <x:c r="D46" s="2"/>
      <x:c r="E46" s="2"/>
      <x:c r="F46" s="2"/>
    </x:row>
    <x:row r="47" ht="25" customHeight="1">
      <x:c r="B47" s="2" t="str">
        <x:v>멈춤-꾸준형·몰입형: 기존 학습 내용으로 짧게 재진입한 뒤 다음 학습까지 연결하는 실험.</x:v>
      </x:c>
      <x:c r="C47" s="2"/>
      <x:c r="D47" s="2"/>
      <x:c r="E47" s="2"/>
      <x:c r="F47" s="2"/>
    </x:row>
    <x:row r="48" ht="25" customHeight="1">
      <x:c r="B48" s="2" t="str">
        <x:v>저활동형: 대규모 풀의 낮은 자연 재학습률을 고려해 저비용 복귀 동선을 검토.</x:v>
      </x:c>
      <x:c r="C48" s="2"/>
      <x:c r="D48" s="2"/>
      <x:c r="E48" s="2"/>
      <x:c r="F48" s="2"/>
    </x:row>
    <x:row r="49" ht="25" customHeight="1">
      <x:c r="B49" s="2" t="str">
        <x:v>실험 성과: 전체 배정 사용자 기준 재학습·반복 학습·7일 중 4일 학습률; 개입 효과는 미검증.</x:v>
      </x:c>
      <x:c r="C49" s="2"/>
      <x:c r="D49" s="2"/>
      <x:c r="E49" s="2"/>
      <x:c r="F49" s="2"/>
    </x:row>
    <x:row r="50" ht="25" customHeight="1">
      <x:c r="B50" s="2"/>
      <x:c r="C50" s="2"/>
      <x:c r="D50" s="2"/>
      <x:c r="E50" s="2"/>
      <x:c r="F50" s="2"/>
    </x:row>
    <x:row r="51" ht="25" customHeight="1">
      <x:c r="B51" s="2"/>
      <x:c r="C51" s="2"/>
      <x:c r="D51" s="2"/>
      <x:c r="E51" s="2"/>
      <x:c r="F51" s="2"/>
    </x:row>
    <x:row r="52" ht="25" customHeight="1">
      <x:c r="B52" s="2" t="str">
        <x:v>출처: 사용자 제공 세그먼트 코드, 원본 learning_traces.13m.csv, 기존 사용자·날짜 활동표.</x:v>
      </x:c>
      <x:c r="C52" s="2"/>
      <x:c r="D52" s="2"/>
      <x:c r="E52" s="2"/>
      <x:c r="F52" s="2"/>
    </x:row>
    <x:row r="53" ht="25" customHeight="1">
      <x:c r="B53" s="2" t="str">
        <x:v>전체 원본을 수정 코드로 재실행하고, 기존 집계값 및 원본 SHA256과 대조했습니다.</x:v>
      </x:c>
      <x:c r="C53" s="2"/>
      <x:c r="D53" s="2"/>
      <x:c r="E53" s="2"/>
      <x:c r="F53" s="2"/>
    </x:row>
    <x:row r="54" ht="25" customHeight="1">
      <x:c r="B54" s="2"/>
      <x:c r="C54" s="2"/>
      <x:c r="D54" s="2"/>
      <x:c r="E54" s="2"/>
      <x:c r="F54" s="2"/>
    </x:row>
    <x:row r="55" ht="25" customHeight="1">
      <x:c r="B55" s="2"/>
      <x:c r="C55" s="2"/>
      <x:c r="D55" s="2"/>
      <x:c r="E55" s="2"/>
      <x:c r="F55" s="2"/>
    </x:row>
    <x:row r="56" ht="25" customHeight="1">
      <x:c r="B56" s="2"/>
      <x:c r="C56" s="2"/>
      <x:c r="D56" s="2"/>
      <x:c r="E56" s="2"/>
      <x:c r="F56" s="2"/>
    </x:row>
    <x:row r="57" ht="25" customHeight="1">
      <x:c r="B57" s="2"/>
      <x:c r="C57" s="2"/>
      <x:c r="D57" s="2"/>
      <x:c r="E57" s="2"/>
      <x:c r="F57" s="2"/>
    </x:row>
    <x:row r="58" ht="25" customHeight="1">
      <x:c r="B58" s="2"/>
      <x:c r="C58" s="2"/>
      <x:c r="D58" s="2"/>
      <x:c r="E58" s="2"/>
      <x:c r="F58" s="2"/>
    </x:row>
    <x:row r="59" ht="25" customHeight="1">
      <x:c r="B59" s="2"/>
      <x:c r="C59" s="2"/>
      <x:c r="D59" s="2"/>
      <x:c r="E59" s="2"/>
      <x:c r="F59" s="2"/>
    </x:row>
    <x:row r="60" ht="25" customHeight="1">
      <x:c r="B60" s="2"/>
      <x:c r="C60" s="2"/>
      <x:c r="D60" s="2"/>
      <x:c r="E60" s="2"/>
      <x:c r="F60" s="2"/>
    </x:row>
    <x:row r="61" ht="25" customHeight="1">
      <x:c r="B61" s="2"/>
      <x:c r="C61" s="2"/>
      <x:c r="D61" s="2"/>
      <x:c r="E61" s="2"/>
      <x:c r="F61" s="2"/>
    </x:row>
    <x:row r="62" ht="25" customHeight="1">
      <x:c r="B62" s="2"/>
      <x:c r="C62" s="2"/>
      <x:c r="D62" s="2"/>
      <x:c r="E62" s="2"/>
      <x:c r="F62" s="2"/>
    </x:row>
    <x:row r="63" ht="25" customHeight="1">
      <x:c r="B63" s="2"/>
      <x:c r="C63" s="2"/>
      <x:c r="D63" s="2"/>
      <x:c r="E63" s="2"/>
      <x:c r="F63" s="2"/>
    </x:row>
    <x:row r="64" ht="25" customHeight="1">
      <x:c r="B64" s="2"/>
      <x:c r="C64" s="2"/>
      <x:c r="D64" s="2"/>
      <x:c r="E64" s="2"/>
      <x:c r="F64" s="2"/>
    </x:row>
    <x:row r="65" ht="25" customHeight="1">
      <x:c r="B65" s="2"/>
      <x:c r="C65" s="2"/>
      <x:c r="D65" s="2"/>
      <x:c r="E65" s="2"/>
      <x:c r="F65" s="2"/>
    </x:row>
    <x:row r="66" ht="25" customHeight="1">
      <x:c r="B66" s="2"/>
      <x:c r="C66" s="2"/>
      <x:c r="D66" s="2"/>
      <x:c r="E66" s="2"/>
      <x:c r="F66" s="2"/>
    </x:row>
    <x:row r="67" ht="25" customHeight="1">
      <x:c r="B67" s="2"/>
      <x:c r="C67" s="2"/>
      <x:c r="D67" s="2"/>
      <x:c r="E67" s="2"/>
      <x:c r="F67" s="2"/>
    </x:row>
    <x:row r="68" ht="25" customHeight="1">
      <x:c r="B68" s="2"/>
      <x:c r="C68" s="2"/>
      <x:c r="D68" s="2"/>
      <x:c r="E68" s="2"/>
      <x:c r="F68" s="2"/>
    </x:row>
    <x:row r="69" ht="25" customHeight="1">
      <x:c r="B69" s="2"/>
      <x:c r="C69" s="2"/>
      <x:c r="D69" s="2"/>
      <x:c r="E69" s="2"/>
      <x:c r="F69" s="2"/>
    </x:row>
    <x:row r="70" ht="25" customHeight="1">
      <x:c r="B70" s="2"/>
      <x:c r="C70" s="2"/>
      <x:c r="D70" s="2"/>
      <x:c r="E70" s="2"/>
      <x:c r="F70" s="2"/>
    </x:row>
  </x:sheetData>
  <x:pageMargins left="0.7" right="0.7" top="0.75" bottom="0.75" header="0.3" footer="0.3"/>
</x:worksheet>
</file>