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4a4a9c0dd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답률 변화와 재학습" sheetId="1" r:id="R15c73ca3726e4b51"/>
    <x:sheet xmlns:r="http://schemas.openxmlformats.org/officeDocument/2006/relationships" name="대상과 세그먼트" sheetId="2" r:id="R8087ce526c5e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.0%"/>
  </x:numFmts>
  <x:fonts count="4">
    <x:font>
      <x:sz val="11"/>
      <x:name val="Carlito"/>
    </x:font>
    <x:font>
      <x:sz val="10"/>
      <x:color rgb="FF24364B"/>
      <x:name val="Malgun Gothic"/>
    </x:font>
    <x:font>
      <x:b/>
      <x:sz val="15"/>
      <x:color rgb="FF334B68"/>
      <x:name val="Malgun Gothic"/>
    </x:font>
    <x:font>
      <x:b/>
      <x:sz val="10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334B68"/>
      </x:patternFill>
    </x:fill>
    <x:fill>
      <x:patternFill patternType="solid">
        <x:fgColor rgb="FFEDF2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6E0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786c9c1fc40a5" /><Relationship Type="http://schemas.openxmlformats.org/officeDocument/2006/relationships/theme" Target="/xl/theme/theme1.xml" Id="Re04e110cbf984052" /><Relationship Type="http://schemas.openxmlformats.org/officeDocument/2006/relationships/sharedStrings" Target="/xl/sharedStrings.xml" Id="R42e97f9f003f4b82" /><Relationship Type="http://schemas.openxmlformats.org/officeDocument/2006/relationships/worksheet" Target="/xl/worksheets/sheet1.xml" Id="R15c73ca3726e4b51" /><Relationship Type="http://schemas.openxmlformats.org/officeDocument/2006/relationships/worksheet" Target="/xl/worksheets/sheet2.xml" Id="R8087ce526c5e40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B68"/>
  </x:sheetPr>
  <x:sheetViews>
    <x:sheetView showGridLines="0" workbookViewId="0"/>
  </x:sheetViews>
  <x:sheetFormatPr defaultRowHeight="15"/>
  <x:cols>
    <x:col min="1" max="1" width="3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2"/>
      <x:c r="B2" s="4" t="str">
        <x:v>정답률 변화와 이후 재학습</x:v>
      </x:c>
      <x:c r="C2" s="3"/>
      <x:c r="D2" s="3"/>
      <x:c r="E2" s="3"/>
      <x:c r="F2" s="3"/>
      <x:c r="G2" s="3"/>
      <x:c r="H2" s="3"/>
      <x:c r="I2" s="2"/>
    </x:row>
    <x:row r="3" ht="26" customHeight="1">
      <x:c r="A3" s="2"/>
      <x:c r="B3" s="2" t="str">
        <x:v>초반 2013.03.01~03 / 후반 03.05~07 / 추적 03.08~11 UTC / 분석 2026.10.13</x:v>
      </x:c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 t="str">
        <x:v>현재 표본에서는 정답률 상승이 반복학습 증가와 연결된다는 뚜렷한 근거를 확인하지 못함.</x:v>
      </x:c>
      <x:c r="C4" s="2"/>
      <x:c r="D4" s="2"/>
      <x:c r="E4" s="2"/>
      <x:c r="F4" s="2"/>
      <x:c r="G4" s="2"/>
      <x:c r="H4" s="2"/>
      <x:c r="I4" s="2"/>
    </x:row>
    <x:row r="5" ht="26" customHeight="1">
      <x:c r="A5" s="2"/>
      <x:c r="B5" s="2" t="str">
        <x:v>양쪽 기간 각각 20문항 이상. 변화 = 후반 정답률 − 초반 정답률. 3/4는 변화 계산에서 제외.</x:v>
      </x:c>
      <x:c r="C5" s="2"/>
      <x:c r="D5" s="2"/>
      <x:c r="E5" s="2"/>
      <x:c r="F5" s="2"/>
      <x:c r="G5" s="2"/>
      <x:c r="H5" s="2"/>
      <x:c r="I5" s="2"/>
    </x:row>
    <x:row r="6" ht="26" customHeight="1">
      <x:c r="A6" s="2"/>
      <x:c r="B6" s="2" t="str">
        <x:v>주 분석: 습관 형성형 4,653명(31.9%). 반복학습 = 추적 4일 중 2일 이상 학습.</x:v>
      </x:c>
      <x:c r="C6" s="2"/>
      <x:c r="D6" s="2"/>
      <x:c r="E6" s="2"/>
      <x:c r="F6" s="2"/>
      <x:c r="G6" s="2"/>
      <x:c r="H6" s="2"/>
      <x:c r="I6" s="2"/>
    </x:row>
    <x:row r="7" ht="26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1" customHeight="1">
      <x:c r="A8" s="2"/>
      <x:c r="B8" s="7" t="str">
        <x:v>모형 / 대비</x:v>
      </x:c>
      <x:c r="C8" s="7" t="str">
        <x:v>사용자</x:v>
      </x:c>
      <x:c r="D8" s="7" t="str">
        <x:v>결과 해당 인원</x:v>
      </x:c>
      <x:c r="E8" s="7" t="str">
        <x:v>오즈비 OR</x:v>
      </x:c>
      <x:c r="F8" s="7" t="str">
        <x:v>95% 하한</x:v>
      </x:c>
      <x:c r="G8" s="7" t="str">
        <x:v>95% 상한</x:v>
      </x:c>
      <x:c r="H8" s="7" t="str">
        <x:v>Holm p</x:v>
      </x:c>
      <x:c r="I8" s="2"/>
    </x:row>
    <x:row r="9" ht="26" customHeight="1">
      <x:c r="A9" s="2"/>
      <x:c r="B9" s="2" t="str">
        <x:v>습관 형성형 · 반복학습 · 미보정</x:v>
      </x:c>
      <x:c r="C9" s="8" t="n">
        <x:v>4653</x:v>
      </x:c>
      <x:c r="D9" s="8" t="n">
        <x:v>1202</x:v>
      </x:c>
      <x:c r="E9" s="9" t="n">
        <x:v>0.9916911045673326</x:v>
      </x:c>
      <x:c r="F9" s="9" t="n">
        <x:v>0.9121271076409588</x:v>
      </x:c>
      <x:c r="G9" s="9" t="n">
        <x:v>1.0781953947421685</x:v>
      </x:c>
      <x:c r="H9" s="9"/>
      <x:c r="I9" s="2"/>
    </x:row>
    <x:row r="10" ht="26" customHeight="1">
      <x:c r="A10" s="2"/>
      <x:c r="B10" s="10" t="str">
        <x:v>습관 형성형 · 반복학습 · 보정</x:v>
      </x:c>
      <x:c r="C10" s="11" t="n">
        <x:v>4653</x:v>
      </x:c>
      <x:c r="D10" s="11" t="n">
        <x:v>1202</x:v>
      </x:c>
      <x:c r="E10" s="12" t="n">
        <x:v>1.069018531430067</x:v>
      </x:c>
      <x:c r="F10" s="12" t="n">
        <x:v>0.9570851751781012</x:v>
      </x:c>
      <x:c r="G10" s="12" t="n">
        <x:v>1.1940427562554574</x:v>
      </x:c>
      <x:c r="H10" s="12" t="n">
        <x:v>1</x:v>
      </x:c>
      <x:c r="I10" s="2"/>
    </x:row>
    <x:row r="11" ht="26" customHeight="1">
      <x:c r="A11" s="2"/>
      <x:c r="B11" s="2" t="str">
        <x:v>전체 가능자 · 반복학습 · 보정</x:v>
      </x:c>
      <x:c r="C11" s="8" t="n">
        <x:v>15216</x:v>
      </x:c>
      <x:c r="D11" s="8" t="n">
        <x:v>6264</x:v>
      </x:c>
      <x:c r="E11" s="9" t="n">
        <x:v>1.0310324813171081</x:v>
      </x:c>
      <x:c r="F11" s="9" t="n">
        <x:v>0.9682855297406769</x:v>
      </x:c>
      <x:c r="G11" s="9" t="n">
        <x:v>1.0978455681513795</x:v>
      </x:c>
      <x:c r="H11" s="9" t="n">
        <x:v>1</x:v>
      </x:c>
      <x:c r="I11" s="2"/>
    </x:row>
    <x:row r="12" ht="26" customHeight="1">
      <x:c r="A12" s="2"/>
      <x:c r="B12" s="2" t="str">
        <x:v>습관 형성형 · 1일 이상 재학습</x:v>
      </x:c>
      <x:c r="C12" s="8" t="n">
        <x:v>4653</x:v>
      </x:c>
      <x:c r="D12" s="8" t="n">
        <x:v>2558</x:v>
      </x:c>
      <x:c r="E12" s="9" t="n">
        <x:v>1.1163324587030032</x:v>
      </x:c>
      <x:c r="F12" s="9" t="n">
        <x:v>1.0132459888760699</x:v>
      </x:c>
      <x:c r="G12" s="9" t="n">
        <x:v>1.2299068262152433</x:v>
      </x:c>
      <x:c r="H12" s="9" t="n">
        <x:v>0.15602257918623816</x:v>
      </x:c>
      <x:c r="I12" s="2"/>
    </x:row>
    <x:row r="13" ht="26" customHeight="1">
      <x:c r="A13" s="2"/>
      <x:c r="B13" s="2" t="str">
        <x:v>양쪽 50문항 · 반복학습 · 보정</x:v>
      </x:c>
      <x:c r="C13" s="8" t="n">
        <x:v>2320</x:v>
      </x:c>
      <x:c r="D13" s="8" t="n">
        <x:v>647</x:v>
      </x:c>
      <x:c r="E13" s="9" t="n">
        <x:v>1.0854757245210616</x:v>
      </x:c>
      <x:c r="F13" s="9" t="n">
        <x:v>0.9123386725586065</x:v>
      </x:c>
      <x:c r="G13" s="9" t="n">
        <x:v>1.29146947725033</x:v>
      </x:c>
      <x:c r="H13" s="9" t="n">
        <x:v>1</x:v>
      </x:c>
      <x:c r="I13" s="2"/>
    </x:row>
    <x:row r="14" ht="26" customHeight="1">
      <x:c r="A14" s="2"/>
      <x:c r="B14" s="2" t="str">
        <x:v>하락 vs 유지 · 반복학습 · 보정</x:v>
      </x:c>
      <x:c r="C14" s="8" t="n">
        <x:v>4653</x:v>
      </x:c>
      <x:c r="D14" s="8" t="n">
        <x:v>1202</x:v>
      </x:c>
      <x:c r="E14" s="9" t="n">
        <x:v>0.9864667442539113</x:v>
      </x:c>
      <x:c r="F14" s="9" t="n">
        <x:v>0.8258472016766869</x:v>
      </x:c>
      <x:c r="G14" s="9" t="n">
        <x:v>1.1783252828649526</x:v>
      </x:c>
      <x:c r="H14" s="9" t="n">
        <x:v>1</x:v>
      </x:c>
      <x:c r="I14" s="2"/>
    </x:row>
    <x:row r="15" ht="26" customHeight="1">
      <x:c r="A15" s="2"/>
      <x:c r="B15" s="2" t="str">
        <x:v>상승 vs 유지 · 반복학습 · 보정</x:v>
      </x:c>
      <x:c r="C15" s="8" t="n">
        <x:v>4653</x:v>
      </x:c>
      <x:c r="D15" s="8" t="n">
        <x:v>1202</x:v>
      </x:c>
      <x:c r="E15" s="9" t="n">
        <x:v>0.9358790066365654</x:v>
      </x:c>
      <x:c r="F15" s="9" t="n">
        <x:v>0.7675750610153876</x:v>
      </x:c>
      <x:c r="G15" s="9" t="n">
        <x:v>1.1410864676926833</x:v>
      </x:c>
      <x:c r="H15" s="9" t="n">
        <x:v>1</x:v>
      </x:c>
      <x:c r="I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6" customHeight="1">
      <x:c r="A17" s="2"/>
      <x:c r="B17" s="2" t="str">
        <x:v>연속 모형 OR은 정답률 변화 +10%p당. 마지막 두 행은 ±5%p 유지 집단 대비 오즈비.</x:v>
      </x:c>
      <x:c r="C17" s="2"/>
      <x:c r="D17" s="2"/>
      <x:c r="E17" s="2"/>
      <x:c r="F17" s="2"/>
      <x:c r="G17" s="2"/>
      <x:c r="H17" s="2"/>
      <x:c r="I17" s="2"/>
    </x:row>
    <x:row r="18" ht="26" customHeight="1">
      <x:c r="A18" s="2"/>
      <x:c r="B18" s="2" t="str">
        <x:v>보정 효과 6개에 Holm 적용. 미보정 행은 적용 대상 아님. CI는 개별 95% 구간.</x:v>
      </x:c>
      <x:c r="C18" s="2"/>
      <x:c r="D18" s="2"/>
      <x:c r="E18" s="2"/>
      <x:c r="F18" s="2"/>
      <x:c r="G18" s="2"/>
      <x:c r="H18" s="2"/>
      <x:c r="I18" s="2"/>
    </x:row>
    <x:row r="19" ht="26" customHeight="1">
      <x:c r="A19" s="2"/>
      <x:c r="B19" s="2" t="str">
        <x:v>초기 정답률·제곱항, 활동일·최근성, 양쪽 문항 수, 세션 수, 첫 관측 날짜를 보정.</x:v>
      </x:c>
      <x:c r="C19" s="2"/>
      <x:c r="D19" s="2"/>
      <x:c r="E19" s="2"/>
      <x:c r="F19" s="2"/>
      <x:c r="G19" s="2"/>
      <x:c r="H19" s="2"/>
      <x:c r="I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31" customHeight="1">
      <x:c r="A21" s="2"/>
      <x:c r="B21" s="7" t="str">
        <x:v>습관 형성형 · 미보정 집단</x:v>
      </x:c>
      <x:c r="C21" s="7" t="str">
        <x:v>사용자</x:v>
      </x:c>
      <x:c r="D21" s="7" t="str">
        <x:v>1일 이상 재학습</x:v>
      </x:c>
      <x:c r="E21" s="7" t="str">
        <x:v>재학습률</x:v>
      </x:c>
      <x:c r="F21" s="7" t="str">
        <x:v>2일 이상 학습</x:v>
      </x:c>
      <x:c r="G21" s="7" t="str">
        <x:v>반복학습률</x:v>
      </x:c>
      <x:c r="H21" s="2"/>
      <x:c r="I21" s="2"/>
    </x:row>
    <x:row r="22" ht="26" customHeight="1">
      <x:c r="A22" s="2"/>
      <x:c r="B22" s="2" t="str">
        <x:v>5%p 초과 하락</x:v>
      </x:c>
      <x:c r="C22" s="8" t="n">
        <x:v>971</x:v>
      </x:c>
      <x:c r="D22" s="8" t="n">
        <x:v>503</x:v>
      </x:c>
      <x:c r="E22" s="13" t="n">
        <x:f>D22/C22</x:f>
        <x:v>0.518022657054583</x:v>
      </x:c>
      <x:c r="F22" s="8" t="n">
        <x:v>247</x:v>
      </x:c>
      <x:c r="G22" s="13" t="n">
        <x:f>F22/C22</x:f>
        <x:v>0.25437693099897013</x:v>
      </x:c>
      <x:c r="H22" s="2"/>
      <x:c r="I22" s="2"/>
    </x:row>
    <x:row r="23" ht="26" customHeight="1">
      <x:c r="A23" s="2"/>
      <x:c r="B23" s="2" t="str">
        <x:v>±5%p 이내</x:v>
      </x:c>
      <x:c r="C23" s="8" t="n">
        <x:v>2673</x:v>
      </x:c>
      <x:c r="D23" s="8" t="n">
        <x:v>1523</x:v>
      </x:c>
      <x:c r="E23" s="13" t="n">
        <x:f>D23/C23</x:f>
        <x:v>0.5697717919940142</x:v>
      </x:c>
      <x:c r="F23" s="8" t="n">
        <x:v>723</x:v>
      </x:c>
      <x:c r="G23" s="13" t="n">
        <x:f>F23/C23</x:f>
        <x:v>0.27048260381593714</x:v>
      </x:c>
      <x:c r="H23" s="2"/>
      <x:c r="I23" s="2"/>
    </x:row>
    <x:row r="24" ht="26" customHeight="1">
      <x:c r="A24" s="2"/>
      <x:c r="B24" s="2" t="str">
        <x:v>5%p 초과 상승</x:v>
      </x:c>
      <x:c r="C24" s="8" t="n">
        <x:v>1009</x:v>
      </x:c>
      <x:c r="D24" s="8" t="n">
        <x:v>532</x:v>
      </x:c>
      <x:c r="E24" s="13" t="n">
        <x:f>D24/C24</x:f>
        <x:v>0.5272547076313181</x:v>
      </x:c>
      <x:c r="F24" s="8" t="n">
        <x:v>232</x:v>
      </x:c>
      <x:c r="G24" s="13" t="n">
        <x:f>F24/C24</x:f>
        <x:v>0.22993062438057482</x:v>
      </x:c>
      <x:c r="H24" s="2"/>
      <x:c r="I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6" customHeight="1">
      <x:c r="A27" s="2"/>
      <x:c r="B27" s="2" t="str">
        <x:v>상승 집단의 초기 평균 정답률 83.8%, 하락 집단 94.0%. 시작점 차이와 평균으로의 회귀를 고려해야 함.</x:v>
      </x:c>
      <x:c r="C27" s="2"/>
      <x:c r="D27" s="2"/>
      <x:c r="E27" s="2"/>
      <x:c r="F27" s="2"/>
      <x:c r="G27" s="2"/>
      <x:c r="H27" s="2"/>
      <x:c r="I27" s="2"/>
    </x:row>
    <x:row r="28" ht="26" customHeight="1">
      <x:c r="A28" s="2"/>
      <x:c r="B28" s="2" t="str">
        <x:v>재학습 모형의 개별 CI는 1을 넘지만 Holm p=0.156. 다중 비교 보정 후 유의하지 않음.</x:v>
      </x:c>
      <x:c r="C28" s="2"/>
      <x:c r="D28" s="2"/>
      <x:c r="E28" s="2"/>
      <x:c r="F28" s="2"/>
      <x:c r="G28" s="2"/>
      <x:c r="H28" s="2"/>
      <x:c r="I28" s="2"/>
    </x:row>
    <x:row r="29" ht="26" customHeight="1">
      <x:c r="A29" s="2"/>
      <x:c r="B29" s="2" t="str">
        <x:v>비유의는 효과 0 또는 집단 동등성의 입증이 아님. 정답률 변화만으로 대상을 선별할 근거는 부족함.</x:v>
      </x:c>
      <x:c r="C29" s="2"/>
      <x:c r="D29" s="2"/>
      <x:c r="E29" s="2"/>
      <x:c r="F29" s="2"/>
      <x:c r="G29" s="2"/>
      <x:c r="H29" s="2"/>
      <x:c r="I29" s="2"/>
    </x:row>
    <x:row r="30" ht="26" customHeight="1">
      <x:c r="A30" s="2"/>
      <x:c r="B30" s="2" t="str">
        <x:v>초반·후반의 단어·난도가 다를 수 있어 실제 학습 능력의 개선·악화로 단정하지 않음.</x:v>
      </x:c>
      <x:c r="C30" s="2"/>
      <x:c r="D30" s="2"/>
      <x:c r="E30" s="2"/>
      <x:c r="F30" s="2"/>
      <x:c r="G30" s="2"/>
      <x:c r="H30" s="2"/>
      <x:c r="I30" s="2"/>
    </x:row>
    <x:row r="31" ht="26" customHeight="1">
      <x:c r="A31" s="2"/>
      <x:c r="B31" s="2" t="str">
        <x:v>기록이 없는 정답률·변화는 결측. 양쪽 기록이 있는 사용자만 포함해 선택 편향이 있음.</x:v>
      </x:c>
      <x:c r="C31" s="2"/>
      <x:c r="D31" s="2"/>
      <x:c r="E31" s="2"/>
      <x:c r="F31" s="2"/>
      <x:c r="G31" s="2"/>
      <x:c r="H31" s="2"/>
      <x:c r="I31" s="2"/>
    </x:row>
    <x:row r="32" ht="26" customHeight="1">
      <x:c r="A32" s="2"/>
      <x:c r="B32" s="2" t="str">
        <x:v>범주형 비교는 미보정 결과 확인 후 추가한 탐색적 보조 분석. 사전 등록된 검증이 아님.</x:v>
      </x:c>
      <x:c r="C32" s="2"/>
      <x:c r="D32" s="2"/>
      <x:c r="E32" s="2"/>
      <x:c r="F32" s="2"/>
      <x:c r="G32" s="2"/>
      <x:c r="H32" s="2"/>
      <x:c r="I32" s="2"/>
    </x:row>
    <x:row r="33" ht="26" customHeight="1">
      <x:c r="A33" s="2"/>
      <x:c r="B33" s="2" t="str">
        <x:v>다음 단계: 습관 형성형의 다음 학습 연결 실험안. 정답률 변화는 대상 필터로 추가하지 않음.</x:v>
      </x:c>
      <x:c r="C33" s="2"/>
      <x:c r="D33" s="2"/>
      <x:c r="E33" s="2"/>
      <x:c r="F33" s="2"/>
      <x:c r="G33" s="2"/>
      <x:c r="H33" s="2"/>
      <x:c r="I33" s="2"/>
    </x:row>
    <x:row r="34" ht="26" customHeight="1">
      <x:c r="A34" s="2"/>
      <x:c r="B34" s="2" t="str">
        <x:v>출처: 원본 session_seen/session_correct 및 v3 사용자 코호트. 해시는 accuracy_results.json에 기록.</x:v>
      </x:c>
      <x:c r="C34" s="2"/>
      <x:c r="D34" s="2"/>
      <x:c r="E34" s="2"/>
      <x:c r="F34" s="2"/>
      <x:c r="G34" s="2"/>
      <x:c r="H34" s="2"/>
      <x:c r="I34" s="2"/>
    </x:row>
    <x:row r="35" ht="26" customHeight="1">
      <x:c r="A35" s="2"/>
      <x:c r="B35" s="2" t="str">
        <x:v>회귀는 Python 결과 스냅샷. 입력 변경 시 analyze_accuracy_change.py를 다시 실행.</x:v>
      </x:c>
      <x:c r="C35" s="2"/>
      <x:c r="D35" s="2"/>
      <x:c r="E35" s="2"/>
      <x:c r="F35" s="2"/>
      <x:c r="G35" s="2"/>
      <x:c r="H35" s="2"/>
      <x:c r="I35" s="2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6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6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6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6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6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6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6" customHeight="1">
      <x:c r="A48" s="2"/>
      <x:c r="B48" s="2"/>
      <x:c r="C48" s="2"/>
      <x:c r="D48" s="2"/>
      <x:c r="E48" s="2"/>
      <x:c r="F48" s="2"/>
      <x:c r="G48" s="2"/>
      <x:c r="H48" s="2"/>
      <x:c r="I4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6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2"/>
      <x:c r="B2" s="4" t="str">
        <x:v>비교 가능 대상과 세그먼트별 결과</x:v>
      </x:c>
      <x:c r="C2" s="3"/>
      <x:c r="D2" s="3"/>
      <x:c r="E2" s="3"/>
      <x:c r="F2" s="3"/>
      <x:c r="G2" s="3"/>
      <x:c r="H2" s="3"/>
      <x:c r="I2" s="2"/>
    </x:row>
    <x:row r="3" ht="26" customHeight="1">
      <x:c r="A3" s="2"/>
      <x:c r="B3" s="2" t="str">
        <x:v>한쪽 기록 없음과 문항 수 부족을 별도 집계. 두 기간을 모두 관측한 사용자에 대한 결과.</x:v>
      </x:c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 t="str">
        <x:v>최근 단발형은 비교 가능 대상 0명. 비율 빈칸을 0%로 해석하지 않음.</x:v>
      </x:c>
      <x:c r="C4" s="2"/>
      <x:c r="D4" s="2"/>
      <x:c r="E4" s="2"/>
      <x:c r="F4" s="2"/>
      <x:c r="G4" s="2"/>
      <x:c r="H4" s="2"/>
      <x:c r="I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1" customHeight="1">
      <x:c r="A6" s="2"/>
      <x:c r="B6" s="7" t="str">
        <x:v>세그먼트</x:v>
      </x:c>
      <x:c r="C6" s="7" t="str">
        <x:v>기준 인원</x:v>
      </x:c>
      <x:c r="D6" s="7" t="str">
        <x:v>분석 가능</x:v>
      </x:c>
      <x:c r="E6" s="7" t="str">
        <x:v>한쪽 기록 없음</x:v>
      </x:c>
      <x:c r="F6" s="7" t="str">
        <x:v>20문항 미만</x:v>
      </x:c>
      <x:c r="G6" s="7" t="str">
        <x:v>포함 비율</x:v>
      </x:c>
      <x:c r="H6" s="7" t="str">
        <x:v>양쪽 50문항</x:v>
      </x:c>
      <x:c r="I6" s="2"/>
    </x:row>
    <x:row r="7" ht="26" customHeight="1">
      <x:c r="A7" s="2"/>
      <x:c r="B7" s="2" t="str">
        <x:v>전체</x:v>
      </x:c>
      <x:c r="C7" s="8" t="n">
        <x:v>82467</x:v>
      </x:c>
      <x:c r="D7" s="8" t="n">
        <x:v>15216</x:v>
      </x:c>
      <x:c r="E7" s="8" t="n">
        <x:v>63999</x:v>
      </x:c>
      <x:c r="F7" s="8" t="n">
        <x:v>3252</x:v>
      </x:c>
      <x:c r="G7" s="13" t="n">
        <x:f>D7/C7</x:f>
        <x:v>0.18451016770344503</x:v>
      </x:c>
      <x:c r="H7" s="8" t="n">
        <x:v>9971</x:v>
      </x:c>
      <x:c r="I7" s="2"/>
    </x:row>
    <x:row r="8" ht="26" customHeight="1">
      <x:c r="A8" s="2"/>
      <x:c r="B8" s="2" t="str">
        <x:v>꾸준형</x:v>
      </x:c>
      <x:c r="C8" s="8" t="n">
        <x:v>8882</x:v>
      </x:c>
      <x:c r="D8" s="8" t="n">
        <x:v>7769</x:v>
      </x:c>
      <x:c r="E8" s="8" t="n">
        <x:v>560</x:v>
      </x:c>
      <x:c r="F8" s="8" t="n">
        <x:v>553</x:v>
      </x:c>
      <x:c r="G8" s="13" t="n">
        <x:f>D8/C8</x:f>
        <x:v>0.8746903850484126</x:v>
      </x:c>
      <x:c r="H8" s="8" t="n">
        <x:v>6330</x:v>
      </x:c>
      <x:c r="I8" s="2"/>
    </x:row>
    <x:row r="9" ht="26" customHeight="1">
      <x:c r="A9" s="2"/>
      <x:c r="B9" s="2" t="str">
        <x:v>습관 형성형</x:v>
      </x:c>
      <x:c r="C9" s="8" t="n">
        <x:v>14583</x:v>
      </x:c>
      <x:c r="D9" s="8" t="n">
        <x:v>4653</x:v>
      </x:c>
      <x:c r="E9" s="8" t="n">
        <x:v>8256</x:v>
      </x:c>
      <x:c r="F9" s="8" t="n">
        <x:v>1674</x:v>
      </x:c>
      <x:c r="G9" s="13" t="n">
        <x:f>D9/C9</x:f>
        <x:v>0.3190701501748611</x:v>
      </x:c>
      <x:c r="H9" s="8" t="n">
        <x:v>2320</x:v>
      </x:c>
      <x:c r="I9" s="2"/>
    </x:row>
    <x:row r="10" ht="26" customHeight="1">
      <x:c r="A10" s="2"/>
      <x:c r="B10" s="2" t="str">
        <x:v>최근 단발형</x:v>
      </x:c>
      <x:c r="C10" s="8" t="n">
        <x:v>15402</x:v>
      </x:c>
      <x:c r="D10" s="8" t="n">
        <x:v>0</x:v>
      </x:c>
      <x:c r="E10" s="8" t="n">
        <x:v>15402</x:v>
      </x:c>
      <x:c r="F10" s="8" t="n">
        <x:v>0</x:v>
      </x:c>
      <x:c r="G10" s="13" t="n">
        <x:f>D10/C10</x:f>
        <x:v>0</x:v>
      </x:c>
      <x:c r="H10" s="8" t="n">
        <x:v>0</x:v>
      </x:c>
      <x:c r="I10" s="2"/>
    </x:row>
    <x:row r="11" ht="26" customHeight="1">
      <x:c r="A11" s="2"/>
      <x:c r="B11" s="2" t="str">
        <x:v>멈춤-꾸준형</x:v>
      </x:c>
      <x:c r="C11" s="8" t="n">
        <x:v>3627</x:v>
      </x:c>
      <x:c r="D11" s="8" t="n">
        <x:v>1647</x:v>
      </x:c>
      <x:c r="E11" s="8" t="n">
        <x:v>1531</x:v>
      </x:c>
      <x:c r="F11" s="8" t="n">
        <x:v>449</x:v>
      </x:c>
      <x:c r="G11" s="13" t="n">
        <x:f>D11/C11</x:f>
        <x:v>0.45409429280397023</x:v>
      </x:c>
      <x:c r="H11" s="8" t="n">
        <x:v>866</x:v>
      </x:c>
      <x:c r="I11" s="2"/>
    </x:row>
    <x:row r="12" ht="26" customHeight="1">
      <x:c r="A12" s="2"/>
      <x:c r="B12" s="2" t="str">
        <x:v>멈춤-몰입형</x:v>
      </x:c>
      <x:c r="C12" s="8" t="n">
        <x:v>9303</x:v>
      </x:c>
      <x:c r="D12" s="8" t="n">
        <x:v>733</x:v>
      </x:c>
      <x:c r="E12" s="8" t="n">
        <x:v>8487</x:v>
      </x:c>
      <x:c r="F12" s="8" t="n">
        <x:v>83</x:v>
      </x:c>
      <x:c r="G12" s="13" t="n">
        <x:f>D12/C12</x:f>
        <x:v>0.07879178759539933</x:v>
      </x:c>
      <x:c r="H12" s="8" t="n">
        <x:v>446</x:v>
      </x:c>
      <x:c r="I12" s="2"/>
    </x:row>
    <x:row r="13" ht="26" customHeight="1">
      <x:c r="A13" s="2"/>
      <x:c r="B13" s="2" t="str">
        <x:v>멈춤-저활동형</x:v>
      </x:c>
      <x:c r="C13" s="8" t="n">
        <x:v>30670</x:v>
      </x:c>
      <x:c r="D13" s="8" t="n">
        <x:v>414</x:v>
      </x:c>
      <x:c r="E13" s="8" t="n">
        <x:v>29763</x:v>
      </x:c>
      <x:c r="F13" s="8" t="n">
        <x:v>493</x:v>
      </x:c>
      <x:c r="G13" s="13" t="n">
        <x:f>D13/C13</x:f>
        <x:v>0.013498532768177371</x:v>
      </x:c>
      <x:c r="H13" s="8" t="n">
        <x:v>9</x:v>
      </x:c>
      <x:c r="I13" s="2"/>
    </x:row>
    <x:row r="14" ht="26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6" customHeight="1">
      <x:c r="A15" s="2"/>
      <x:c r="B15" s="2" t="str">
        <x:v>정답률은 기간별 정답 수 합 / 문항 수 합. 각 사용자 정답률을 계산한 후 결과와 연결.</x:v>
      </x:c>
      <x:c r="C15" s="2"/>
      <x:c r="D15" s="2"/>
      <x:c r="E15" s="2"/>
      <x:c r="F15" s="2"/>
      <x:c r="G15" s="2"/>
      <x:c r="H15" s="2"/>
      <x:c r="I15" s="2"/>
    </x:row>
    <x:row r="16" ht="26" customHeight="1">
      <x:c r="A16" s="2"/>
      <x:c r="B16" s="2" t="str">
        <x:v>집단별 수치 아래는 미보정 관측률. 세그먼트나 집단 사이의 인과 효과 비교가 아님.</x:v>
      </x:c>
      <x:c r="C16" s="2"/>
      <x:c r="D16" s="2"/>
      <x:c r="E16" s="2"/>
      <x:c r="F16" s="2"/>
      <x:c r="G16" s="2"/>
      <x:c r="H16" s="2"/>
      <x:c r="I16" s="2"/>
    </x:row>
    <x:row r="17" ht="26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31" customHeight="1">
      <x:c r="A18" s="2"/>
      <x:c r="B18" s="7" t="str">
        <x:v>세그먼트</x:v>
      </x:c>
      <x:c r="C18" s="7" t="str">
        <x:v>변화 집단</x:v>
      </x:c>
      <x:c r="D18" s="7" t="str">
        <x:v>사용자</x:v>
      </x:c>
      <x:c r="E18" s="7" t="str">
        <x:v>재학습 인원</x:v>
      </x:c>
      <x:c r="F18" s="7" t="str">
        <x:v>재학습률</x:v>
      </x:c>
      <x:c r="G18" s="7" t="str">
        <x:v>반복학습 인원</x:v>
      </x:c>
      <x:c r="H18" s="7" t="str">
        <x:v>반복학습률</x:v>
      </x:c>
      <x:c r="I18" s="2"/>
    </x:row>
    <x:row r="19" ht="26" customHeight="1">
      <x:c r="A19" s="2"/>
      <x:c r="B19" s="10" t="str">
        <x:v>전체</x:v>
      </x:c>
      <x:c r="C19" s="10" t="str">
        <x:v>5%p 초과 하락</x:v>
      </x:c>
      <x:c r="D19" s="11" t="n">
        <x:v>2733</x:v>
      </x:c>
      <x:c r="E19" s="11" t="n">
        <x:v>1644</x:v>
      </x:c>
      <x:c r="F19" s="14" t="n">
        <x:f>E19/D19</x:f>
        <x:v>0.601536772777168</x:v>
      </x:c>
      <x:c r="G19" s="11" t="n">
        <x:v>949</x:v>
      </x:c>
      <x:c r="H19" s="14" t="n">
        <x:f>G19/D19</x:f>
        <x:v>0.3472374679839005</x:v>
      </x:c>
      <x:c r="I19" s="2"/>
    </x:row>
    <x:row r="20" ht="26" customHeight="1">
      <x:c r="A20" s="2"/>
      <x:c r="B20" s="10" t="str">
        <x:v>전체</x:v>
      </x:c>
      <x:c r="C20" s="10" t="str">
        <x:v>±5%p 이내</x:v>
      </x:c>
      <x:c r="D20" s="11" t="n">
        <x:v>9738</x:v>
      </x:c>
      <x:c r="E20" s="11" t="n">
        <x:v>6812</x:v>
      </x:c>
      <x:c r="F20" s="14" t="n">
        <x:f>E20/D20</x:f>
        <x:v>0.6995276237420415</x:v>
      </x:c>
      <x:c r="G20" s="11" t="n">
        <x:v>4365</x:v>
      </x:c>
      <x:c r="H20" s="14" t="n">
        <x:f>G20/D20</x:f>
        <x:v>0.44824399260628467</x:v>
      </x:c>
      <x:c r="I20" s="2"/>
    </x:row>
    <x:row r="21" ht="26" customHeight="1">
      <x:c r="A21" s="2"/>
      <x:c r="B21" s="10" t="str">
        <x:v>전체</x:v>
      </x:c>
      <x:c r="C21" s="10" t="str">
        <x:v>5%p 초과 상승</x:v>
      </x:c>
      <x:c r="D21" s="11" t="n">
        <x:v>2745</x:v>
      </x:c>
      <x:c r="E21" s="11" t="n">
        <x:v>1692</x:v>
      </x:c>
      <x:c r="F21" s="14" t="n">
        <x:f>E21/D21</x:f>
        <x:v>0.6163934426229508</x:v>
      </x:c>
      <x:c r="G21" s="11" t="n">
        <x:v>950</x:v>
      </x:c>
      <x:c r="H21" s="14" t="n">
        <x:f>G21/D21</x:f>
        <x:v>0.3460837887067395</x:v>
      </x:c>
      <x:c r="I21" s="2"/>
    </x:row>
    <x:row r="22" ht="26" customHeight="1">
      <x:c r="A22" s="2"/>
      <x:c r="B22" s="2" t="str">
        <x:v>꾸준형</x:v>
      </x:c>
      <x:c r="C22" s="2" t="str">
        <x:v>5%p 초과 하락</x:v>
      </x:c>
      <x:c r="D22" s="8" t="n">
        <x:v>1139</x:v>
      </x:c>
      <x:c r="E22" s="8" t="n">
        <x:v>866</x:v>
      </x:c>
      <x:c r="F22" s="13" t="n">
        <x:f>E22/D22</x:f>
        <x:v>0.7603160667251976</x:v>
      </x:c>
      <x:c r="G22" s="8" t="n">
        <x:v>578</x:v>
      </x:c>
      <x:c r="H22" s="13" t="n">
        <x:f>G22/D22</x:f>
        <x:v>0.5074626865671642</x:v>
      </x:c>
      <x:c r="I22" s="2"/>
    </x:row>
    <x:row r="23" ht="26" customHeight="1">
      <x:c r="A23" s="2"/>
      <x:c r="B23" s="2" t="str">
        <x:v>꾸준형</x:v>
      </x:c>
      <x:c r="C23" s="2" t="str">
        <x:v>±5%p 이내</x:v>
      </x:c>
      <x:c r="D23" s="8" t="n">
        <x:v>5481</x:v>
      </x:c>
      <x:c r="E23" s="8" t="n">
        <x:v>4546</x:v>
      </x:c>
      <x:c r="F23" s="13" t="n">
        <x:f>E23/D23</x:f>
        <x:v>0.829410691479657</x:v>
      </x:c>
      <x:c r="G23" s="8" t="n">
        <x:v>3296</x:v>
      </x:c>
      <x:c r="H23" s="13" t="n">
        <x:f>G23/D23</x:f>
        <x:v>0.6013501185914979</x:v>
      </x:c>
      <x:c r="I23" s="2"/>
    </x:row>
    <x:row r="24" ht="26" customHeight="1">
      <x:c r="A24" s="2"/>
      <x:c r="B24" s="2" t="str">
        <x:v>꾸준형</x:v>
      </x:c>
      <x:c r="C24" s="2" t="str">
        <x:v>5%p 초과 상승</x:v>
      </x:c>
      <x:c r="D24" s="8" t="n">
        <x:v>1149</x:v>
      </x:c>
      <x:c r="E24" s="8" t="n">
        <x:v>899</x:v>
      </x:c>
      <x:c r="F24" s="13" t="n">
        <x:f>E24/D24</x:f>
        <x:v>0.7824194952132288</x:v>
      </x:c>
      <x:c r="G24" s="8" t="n">
        <x:v>601</x:v>
      </x:c>
      <x:c r="H24" s="13" t="n">
        <x:f>G24/D24</x:f>
        <x:v>0.5230635335073978</x:v>
      </x:c>
      <x:c r="I24" s="2"/>
    </x:row>
    <x:row r="25" ht="26" customHeight="1">
      <x:c r="A25" s="2"/>
      <x:c r="B25" s="2" t="str">
        <x:v>습관 형성형</x:v>
      </x:c>
      <x:c r="C25" s="2" t="str">
        <x:v>5%p 초과 하락</x:v>
      </x:c>
      <x:c r="D25" s="8" t="n">
        <x:v>971</x:v>
      </x:c>
      <x:c r="E25" s="8" t="n">
        <x:v>503</x:v>
      </x:c>
      <x:c r="F25" s="13" t="n">
        <x:f>E25/D25</x:f>
        <x:v>0.518022657054583</x:v>
      </x:c>
      <x:c r="G25" s="8" t="n">
        <x:v>247</x:v>
      </x:c>
      <x:c r="H25" s="13" t="n">
        <x:f>G25/D25</x:f>
        <x:v>0.25437693099897013</x:v>
      </x:c>
      <x:c r="I25" s="2"/>
    </x:row>
    <x:row r="26" ht="26" customHeight="1">
      <x:c r="A26" s="2"/>
      <x:c r="B26" s="2" t="str">
        <x:v>습관 형성형</x:v>
      </x:c>
      <x:c r="C26" s="2" t="str">
        <x:v>±5%p 이내</x:v>
      </x:c>
      <x:c r="D26" s="8" t="n">
        <x:v>2673</x:v>
      </x:c>
      <x:c r="E26" s="8" t="n">
        <x:v>1523</x:v>
      </x:c>
      <x:c r="F26" s="13" t="n">
        <x:f>E26/D26</x:f>
        <x:v>0.5697717919940142</x:v>
      </x:c>
      <x:c r="G26" s="8" t="n">
        <x:v>723</x:v>
      </x:c>
      <x:c r="H26" s="13" t="n">
        <x:f>G26/D26</x:f>
        <x:v>0.27048260381593714</x:v>
      </x:c>
      <x:c r="I26" s="2"/>
    </x:row>
    <x:row r="27" ht="26" customHeight="1">
      <x:c r="A27" s="2"/>
      <x:c r="B27" s="2" t="str">
        <x:v>습관 형성형</x:v>
      </x:c>
      <x:c r="C27" s="2" t="str">
        <x:v>5%p 초과 상승</x:v>
      </x:c>
      <x:c r="D27" s="8" t="n">
        <x:v>1009</x:v>
      </x:c>
      <x:c r="E27" s="8" t="n">
        <x:v>532</x:v>
      </x:c>
      <x:c r="F27" s="13" t="n">
        <x:f>E27/D27</x:f>
        <x:v>0.5272547076313181</x:v>
      </x:c>
      <x:c r="G27" s="8" t="n">
        <x:v>232</x:v>
      </x:c>
      <x:c r="H27" s="13" t="n">
        <x:f>G27/D27</x:f>
        <x:v>0.22993062438057482</x:v>
      </x:c>
      <x:c r="I27" s="2"/>
    </x:row>
    <x:row r="28" ht="26" customHeight="1">
      <x:c r="A28" s="2"/>
      <x:c r="B28" s="2" t="str">
        <x:v>최근 단발형</x:v>
      </x:c>
      <x:c r="C28" s="2" t="str">
        <x:v>5%p 초과 하락</x:v>
      </x:c>
      <x:c r="D28" s="8" t="n">
        <x:v>0</x:v>
      </x:c>
      <x:c r="E28" s="8" t="n">
        <x:v>0</x:v>
      </x:c>
      <x:c r="F28" s="13"/>
      <x:c r="G28" s="8" t="n">
        <x:v>0</x:v>
      </x:c>
      <x:c r="H28" s="13"/>
      <x:c r="I28" s="2"/>
    </x:row>
    <x:row r="29" ht="26" customHeight="1">
      <x:c r="A29" s="2"/>
      <x:c r="B29" s="2" t="str">
        <x:v>최근 단발형</x:v>
      </x:c>
      <x:c r="C29" s="2" t="str">
        <x:v>±5%p 이내</x:v>
      </x:c>
      <x:c r="D29" s="8" t="n">
        <x:v>0</x:v>
      </x:c>
      <x:c r="E29" s="8" t="n">
        <x:v>0</x:v>
      </x:c>
      <x:c r="F29" s="13"/>
      <x:c r="G29" s="8" t="n">
        <x:v>0</x:v>
      </x:c>
      <x:c r="H29" s="13"/>
      <x:c r="I29" s="2"/>
    </x:row>
    <x:row r="30" ht="26" customHeight="1">
      <x:c r="A30" s="2"/>
      <x:c r="B30" s="2" t="str">
        <x:v>최근 단발형</x:v>
      </x:c>
      <x:c r="C30" s="2" t="str">
        <x:v>5%p 초과 상승</x:v>
      </x:c>
      <x:c r="D30" s="8" t="n">
        <x:v>0</x:v>
      </x:c>
      <x:c r="E30" s="8" t="n">
        <x:v>0</x:v>
      </x:c>
      <x:c r="F30" s="13"/>
      <x:c r="G30" s="8" t="n">
        <x:v>0</x:v>
      </x:c>
      <x:c r="H30" s="13"/>
      <x:c r="I30" s="2"/>
    </x:row>
    <x:row r="31" ht="26" customHeight="1">
      <x:c r="A31" s="2"/>
      <x:c r="B31" s="2" t="str">
        <x:v>멈춤-꾸준형</x:v>
      </x:c>
      <x:c r="C31" s="2" t="str">
        <x:v>5%p 초과 하락</x:v>
      </x:c>
      <x:c r="D31" s="8" t="n">
        <x:v>369</x:v>
      </x:c>
      <x:c r="E31" s="8" t="n">
        <x:v>194</x:v>
      </x:c>
      <x:c r="F31" s="13" t="n">
        <x:f>E31/D31</x:f>
        <x:v>0.5257452574525745</x:v>
      </x:c>
      <x:c r="G31" s="8" t="n">
        <x:v>98</x:v>
      </x:c>
      <x:c r="H31" s="13" t="n">
        <x:f>G31/D31</x:f>
        <x:v>0.26558265582655827</x:v>
      </x:c>
      <x:c r="I31" s="2"/>
    </x:row>
    <x:row r="32" ht="26" customHeight="1">
      <x:c r="A32" s="2"/>
      <x:c r="B32" s="2" t="str">
        <x:v>멈춤-꾸준형</x:v>
      </x:c>
      <x:c r="C32" s="2" t="str">
        <x:v>±5%p 이내</x:v>
      </x:c>
      <x:c r="D32" s="8" t="n">
        <x:v>977</x:v>
      </x:c>
      <x:c r="E32" s="8" t="n">
        <x:v>507</x:v>
      </x:c>
      <x:c r="F32" s="13" t="n">
        <x:f>E32/D32</x:f>
        <x:v>0.518935516888434</x:v>
      </x:c>
      <x:c r="G32" s="8" t="n">
        <x:v>263</x:v>
      </x:c>
      <x:c r="H32" s="13" t="n">
        <x:f>G32/D32</x:f>
        <x:v>0.2691914022517912</x:v>
      </x:c>
      <x:c r="I32" s="2"/>
    </x:row>
    <x:row r="33" ht="26" customHeight="1">
      <x:c r="A33" s="2"/>
      <x:c r="B33" s="2" t="str">
        <x:v>멈춤-꾸준형</x:v>
      </x:c>
      <x:c r="C33" s="2" t="str">
        <x:v>5%p 초과 상승</x:v>
      </x:c>
      <x:c r="D33" s="8" t="n">
        <x:v>301</x:v>
      </x:c>
      <x:c r="E33" s="8" t="n">
        <x:v>154</x:v>
      </x:c>
      <x:c r="F33" s="13" t="n">
        <x:f>E33/D33</x:f>
        <x:v>0.5116279069767442</x:v>
      </x:c>
      <x:c r="G33" s="8" t="n">
        <x:v>85</x:v>
      </x:c>
      <x:c r="H33" s="13" t="n">
        <x:f>G33/D33</x:f>
        <x:v>0.2823920265780731</x:v>
      </x:c>
      <x:c r="I33" s="2"/>
    </x:row>
    <x:row r="34" ht="26" customHeight="1">
      <x:c r="A34" s="2"/>
      <x:c r="B34" s="2" t="str">
        <x:v>멈춤-몰입형</x:v>
      </x:c>
      <x:c r="C34" s="2" t="str">
        <x:v>5%p 초과 하락</x:v>
      </x:c>
      <x:c r="D34" s="8" t="n">
        <x:v>149</x:v>
      </x:c>
      <x:c r="E34" s="8" t="n">
        <x:v>51</x:v>
      </x:c>
      <x:c r="F34" s="13" t="n">
        <x:f>E34/D34</x:f>
        <x:v>0.3422818791946309</x:v>
      </x:c>
      <x:c r="G34" s="8" t="n">
        <x:v>14</x:v>
      </x:c>
      <x:c r="H34" s="13" t="n">
        <x:f>G34/D34</x:f>
        <x:v>0.09395973154362416</x:v>
      </x:c>
      <x:c r="I34" s="2"/>
    </x:row>
    <x:row r="35" ht="26" customHeight="1">
      <x:c r="A35" s="2"/>
      <x:c r="B35" s="2" t="str">
        <x:v>멈춤-몰입형</x:v>
      </x:c>
      <x:c r="C35" s="2" t="str">
        <x:v>±5%p 이내</x:v>
      </x:c>
      <x:c r="D35" s="8" t="n">
        <x:v>425</x:v>
      </x:c>
      <x:c r="E35" s="8" t="n">
        <x:v>170</x:v>
      </x:c>
      <x:c r="F35" s="13" t="n">
        <x:f>E35/D35</x:f>
        <x:v>0.4</x:v>
      </x:c>
      <x:c r="G35" s="8" t="n">
        <x:v>66</x:v>
      </x:c>
      <x:c r="H35" s="13" t="n">
        <x:f>G35/D35</x:f>
        <x:v>0.15529411764705883</x:v>
      </x:c>
      <x:c r="I35" s="2"/>
    </x:row>
    <x:row r="36" ht="26" customHeight="1">
      <x:c r="A36" s="2"/>
      <x:c r="B36" s="2" t="str">
        <x:v>멈춤-몰입형</x:v>
      </x:c>
      <x:c r="C36" s="2" t="str">
        <x:v>5%p 초과 상승</x:v>
      </x:c>
      <x:c r="D36" s="8" t="n">
        <x:v>159</x:v>
      </x:c>
      <x:c r="E36" s="8" t="n">
        <x:v>65</x:v>
      </x:c>
      <x:c r="F36" s="13" t="n">
        <x:f>E36/D36</x:f>
        <x:v>0.4088050314465409</x:v>
      </x:c>
      <x:c r="G36" s="8" t="n">
        <x:v>17</x:v>
      </x:c>
      <x:c r="H36" s="13" t="n">
        <x:f>G36/D36</x:f>
        <x:v>0.1069182389937107</x:v>
      </x:c>
      <x:c r="I36" s="2"/>
    </x:row>
    <x:row r="37" ht="26" customHeight="1">
      <x:c r="A37" s="2"/>
      <x:c r="B37" s="2" t="str">
        <x:v>멈춤-저활동형</x:v>
      </x:c>
      <x:c r="C37" s="2" t="str">
        <x:v>5%p 초과 하락</x:v>
      </x:c>
      <x:c r="D37" s="8" t="n">
        <x:v>105</x:v>
      </x:c>
      <x:c r="E37" s="8" t="n">
        <x:v>30</x:v>
      </x:c>
      <x:c r="F37" s="13" t="n">
        <x:f>E37/D37</x:f>
        <x:v>0.2857142857142857</x:v>
      </x:c>
      <x:c r="G37" s="8" t="n">
        <x:v>12</x:v>
      </x:c>
      <x:c r="H37" s="13" t="n">
        <x:f>G37/D37</x:f>
        <x:v>0.11428571428571428</x:v>
      </x:c>
      <x:c r="I37" s="2"/>
    </x:row>
    <x:row r="38" ht="26" customHeight="1">
      <x:c r="A38" s="2"/>
      <x:c r="B38" s="2" t="str">
        <x:v>멈춤-저활동형</x:v>
      </x:c>
      <x:c r="C38" s="2" t="str">
        <x:v>±5%p 이내</x:v>
      </x:c>
      <x:c r="D38" s="8" t="n">
        <x:v>182</x:v>
      </x:c>
      <x:c r="E38" s="8" t="n">
        <x:v>66</x:v>
      </x:c>
      <x:c r="F38" s="13" t="n">
        <x:f>E38/D38</x:f>
        <x:v>0.3626373626373626</x:v>
      </x:c>
      <x:c r="G38" s="8" t="n">
        <x:v>17</x:v>
      </x:c>
      <x:c r="H38" s="13" t="n">
        <x:f>G38/D38</x:f>
        <x:v>0.09340659340659341</x:v>
      </x:c>
      <x:c r="I38" s="2"/>
    </x:row>
    <x:row r="39" ht="26" customHeight="1">
      <x:c r="A39" s="2"/>
      <x:c r="B39" s="2" t="str">
        <x:v>멈춤-저활동형</x:v>
      </x:c>
      <x:c r="C39" s="2" t="str">
        <x:v>5%p 초과 상승</x:v>
      </x:c>
      <x:c r="D39" s="8" t="n">
        <x:v>127</x:v>
      </x:c>
      <x:c r="E39" s="8" t="n">
        <x:v>42</x:v>
      </x:c>
      <x:c r="F39" s="13" t="n">
        <x:f>E39/D39</x:f>
        <x:v>0.33070866141732286</x:v>
      </x:c>
      <x:c r="G39" s="8" t="n">
        <x:v>15</x:v>
      </x:c>
      <x:c r="H39" s="13" t="n">
        <x:f>G39/D39</x:f>
        <x:v>0.11811023622047244</x:v>
      </x:c>
      <x:c r="I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6" customHeight="1">
      <x:c r="A41" s="2"/>
      <x:c r="B41" s="2" t="str">
        <x:v>변화 경계: 정확히 ±5%p는 유지에 포함. 정수 교차곱으로 판정해 반올림 오류를 방지.</x:v>
      </x:c>
      <x:c r="C41" s="2"/>
      <x:c r="D41" s="2"/>
      <x:c r="E41" s="2"/>
      <x:c r="F41" s="2"/>
      <x:c r="G41" s="2"/>
      <x:c r="H41" s="2"/>
      <x:c r="I41" s="2"/>
    </x:row>
    <x:row r="42" ht="26" customHeight="1">
      <x:c r="A42" s="2"/>
      <x:c r="B42" s="2" t="str">
        <x:v>사용자별 분자·분모·제외 사유는 user_accuracy_change.csv, 일별 원천 집계는 baseline_daily_accuracy.csv.</x:v>
      </x:c>
      <x:c r="C42" s="2"/>
      <x:c r="D42" s="2"/>
      <x:c r="E42" s="2"/>
      <x:c r="F42" s="2"/>
      <x:c r="G42" s="2"/>
      <x:c r="H42" s="2"/>
      <x:c r="I42" s="2"/>
    </x:row>
    <x:row r="43" ht="26" customHeight="1">
      <x:c r="A43" s="2"/>
      <x:c r="B43" s="2" t="str">
        <x:v>원천 전체 행 해시 중복 81개 제거. 82,467명 문항·정답·세션·활동일 수 기존 집계와 일치.</x:v>
      </x:c>
      <x:c r="C43" s="2"/>
      <x:c r="D43" s="2"/>
      <x:c r="E43" s="2"/>
      <x:c r="F43" s="2"/>
      <x:c r="G43" s="2"/>
      <x:c r="H43" s="2"/>
      <x:c r="I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6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6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6" customHeight="1">
      <x:c r="A48" s="2"/>
      <x:c r="B48" s="2"/>
      <x:c r="C48" s="2"/>
      <x:c r="D48" s="2"/>
      <x:c r="E48" s="2"/>
      <x:c r="F48" s="2"/>
      <x:c r="G48" s="2"/>
      <x:c r="H48" s="2"/>
      <x:c r="I48" s="2"/>
    </x:row>
  </x:sheetData>
  <x:pageMargins left="0.7" right="0.7" top="0.75" bottom="0.75" header="0.3" footer="0.3"/>
</x:worksheet>
</file>