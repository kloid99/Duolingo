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9ed169b2f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규칙성과 반복학습" sheetId="1" r:id="R1428b7b9d28c4614"/>
    <x:sheet xmlns:r="http://schemas.openxmlformats.org/officeDocument/2006/relationships" name="대상과 분석 기준" sheetId="2" r:id="R33149ca1d001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0"/>
    <x:numFmt numFmtId="202" formatCode="0.00E+00"/>
    <x:numFmt numFmtId="203" formatCode="0.0%"/>
    <x:numFmt numFmtId="204" formatCode="0.00%"/>
    <x:numFmt numFmtId="205" formatCode="0.00"/>
  </x:numFmts>
  <x:fonts count="4">
    <x:font>
      <x:sz val="11"/>
      <x:name val="Carlito"/>
    </x:font>
    <x:font>
      <x:sz val="10"/>
      <x:color rgb="FF24364B"/>
      <x:name val="Malgun Gothic"/>
    </x:font>
    <x:font>
      <x:b/>
      <x:sz val="15"/>
      <x:color rgb="FF334B68"/>
      <x:name val="Malgun Gothic"/>
    </x:font>
    <x:font>
      <x:b/>
      <x:sz val="10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8"/>
      </x:patternFill>
    </x:fill>
    <x:fill>
      <x:patternFill patternType="solid">
        <x:fgColor rgb="FFED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6E0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83945b93942a3" /><Relationship Type="http://schemas.openxmlformats.org/officeDocument/2006/relationships/theme" Target="/xl/theme/theme1.xml" Id="R767adc753376477c" /><Relationship Type="http://schemas.openxmlformats.org/officeDocument/2006/relationships/sharedStrings" Target="/xl/sharedStrings.xml" Id="R8c94bc840b7c492b" /><Relationship Type="http://schemas.openxmlformats.org/officeDocument/2006/relationships/worksheet" Target="/xl/worksheets/sheet1.xml" Id="R1428b7b9d28c4614" /><Relationship Type="http://schemas.openxmlformats.org/officeDocument/2006/relationships/worksheet" Target="/xl/worksheets/sheet2.xml" Id="R33149ca1d00145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B68"/>
  </x:sheetPr>
  <x:sheetViews>
    <x:sheetView showGridLines="0" workbookViewId="0"/>
  </x:sheetViews>
  <x:sheetFormatPr defaultRowHeight="15"/>
  <x:cols>
    <x:col min="1" max="1" width="3" hidden="0" customWidth="1"/>
    <x:col min="2" max="2" width="4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2"/>
      <x:c r="B2" s="4" t="str">
        <x:v>복습 규칙성과 이후 반복학습</x:v>
      </x:c>
      <x:c r="C2" s="3"/>
      <x:c r="D2" s="3"/>
      <x:c r="E2" s="3"/>
      <x:c r="F2" s="3"/>
      <x:c r="G2" s="3"/>
      <x:c r="H2" s="3"/>
      <x:c r="I2" s="2"/>
    </x:row>
    <x:row r="3" ht="26" customHeight="1">
      <x:c r="A3" s="2"/>
      <x:c r="B3" s="2" t="str">
        <x:v>습관 형성형 / 기준 2013.03.01~07 UTC / 결과 03.08~11 / 분석 2026.10.13</x:v>
      </x:c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 t="str">
        <x:v>활동량 등을 보정하면 간격 변동이 클수록 반복학습 오즈가 낮음. 개입 효과를 뜻하지 않음.</x:v>
      </x:c>
      <x:c r="C4" s="2"/>
      <x:c r="D4" s="2"/>
      <x:c r="E4" s="2"/>
      <x:c r="F4" s="2"/>
      <x:c r="G4" s="2"/>
      <x:c r="H4" s="2"/>
      <x:c r="I4" s="2"/>
    </x:row>
    <x:row r="5" ht="26" customHeight="1">
      <x:c r="A5" s="2"/>
      <x:c r="B5" s="2" t="str">
        <x:v>결과: 4일 중 2일 이상 학습. OR: log(1+CV)가 해당 표본에서 1표준편차 증가할 때의 오즈비.</x:v>
      </x:c>
      <x:c r="C5" s="2"/>
      <x:c r="D5" s="2"/>
      <x:c r="E5" s="2"/>
      <x:c r="F5" s="2"/>
      <x:c r="G5" s="2"/>
      <x:c r="H5" s="2"/>
      <x:c r="I5" s="2"/>
    </x:row>
    <x:row r="6" ht="26" customHeight="1">
      <x:c r="A6" s="2"/>
      <x:c r="B6" s="2" t="str">
        <x:v>CV = 세션 간격 표준편차 / 평균. 낮을수록 간격 변동이 작음. 95% 구간은 다중 비교 보정 전.</x:v>
      </x:c>
      <x:c r="C6" s="2"/>
      <x:c r="D6" s="2"/>
      <x:c r="E6" s="2"/>
      <x:c r="F6" s="2"/>
      <x:c r="G6" s="2"/>
      <x:c r="H6" s="2"/>
      <x:c r="I6" s="2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0" customHeight="1">
      <x:c r="A8" s="2"/>
      <x:c r="B8" s="7" t="str">
        <x:v>분석 모형</x:v>
      </x:c>
      <x:c r="C8" s="7" t="str">
        <x:v>사용자</x:v>
      </x:c>
      <x:c r="D8" s="7" t="str">
        <x:v>반복학습 인원</x:v>
      </x:c>
      <x:c r="E8" s="7" t="str">
        <x:v>오즈비 OR</x:v>
      </x:c>
      <x:c r="F8" s="7" t="str">
        <x:v>95% 하한</x:v>
      </x:c>
      <x:c r="G8" s="7" t="str">
        <x:v>95% 상한</x:v>
      </x:c>
      <x:c r="H8" s="7" t="str">
        <x:v>Holm p</x:v>
      </x:c>
      <x:c r="I8" s="2"/>
    </x:row>
    <x:row r="9" ht="26" customHeight="1">
      <x:c r="A9" s="2"/>
      <x:c r="B9" s="2" t="str">
        <x:v>고유 시각 4회 이상 · 미보정</x:v>
      </x:c>
      <x:c r="C9" s="8" t="n">
        <x:v>10633</x:v>
      </x:c>
      <x:c r="D9" s="8" t="n">
        <x:v>2887</x:v>
      </x:c>
      <x:c r="E9" s="9" t="n">
        <x:v>1.0890554753784372</x:v>
      </x:c>
      <x:c r="F9" s="9" t="n">
        <x:v>1.0425509765643626</x:v>
      </x:c>
      <x:c r="G9" s="9" t="n">
        <x:v>1.1376343748295676</x:v>
      </x:c>
      <x:c r="H9" s="10"/>
      <x:c r="I9" s="2"/>
    </x:row>
    <x:row r="10" ht="26" customHeight="1">
      <x:c r="A10" s="2"/>
      <x:c r="B10" s="11" t="str">
        <x:v>고유 시각 4회 이상 · 보정</x:v>
      </x:c>
      <x:c r="C10" s="12" t="n">
        <x:v>10633</x:v>
      </x:c>
      <x:c r="D10" s="12" t="n">
        <x:v>2887</x:v>
      </x:c>
      <x:c r="E10" s="13" t="n">
        <x:v>0.7048511382291108</x:v>
      </x:c>
      <x:c r="F10" s="13" t="n">
        <x:v>0.6476533167464993</x:v>
      </x:c>
      <x:c r="G10" s="13" t="n">
        <x:v>0.7671004134721874</x:v>
      </x:c>
      <x:c r="H10" s="14" t="n">
        <x:v>2.1936320843803006e-15</x:v>
      </x:c>
      <x:c r="I10" s="2"/>
    </x:row>
    <x:row r="11" ht="26" customHeight="1">
      <x:c r="A11" s="2"/>
      <x:c r="B11" s="2" t="str">
        <x:v>고유 시각 6회 이상 · 보정</x:v>
      </x:c>
      <x:c r="C11" s="8" t="n">
        <x:v>7391</x:v>
      </x:c>
      <x:c r="D11" s="8" t="n">
        <x:v>2218</x:v>
      </x:c>
      <x:c r="E11" s="9" t="n">
        <x:v>0.6880700423209282</x:v>
      </x:c>
      <x:c r="F11" s="9" t="n">
        <x:v>0.6280241685764988</x:v>
      </x:c>
      <x:c r="G11" s="9" t="n">
        <x:v>0.7538569482328048</x:v>
      </x:c>
      <x:c r="H11" s="10" t="n">
        <x:v>3.0505291003487764e-15</x:v>
      </x:c>
      <x:c r="I11" s="2"/>
    </x:row>
    <x:row r="12" ht="26" customHeight="1">
      <x:c r="A12" s="2"/>
      <x:c r="B12" s="2" t="str">
        <x:v>30분 세션 4회 이상 · 보정</x:v>
      </x:c>
      <x:c r="C12" s="8" t="n">
        <x:v>4100</x:v>
      </x:c>
      <x:c r="D12" s="8" t="n">
        <x:v>1478</x:v>
      </x:c>
      <x:c r="E12" s="9" t="n">
        <x:v>0.8917976522003153</x:v>
      </x:c>
      <x:c r="F12" s="9" t="n">
        <x:v>0.8250024363782689</x:v>
      </x:c>
      <x:c r="G12" s="9" t="n">
        <x:v>0.9640008530900179</x:v>
      </x:c>
      <x:c r="H12" s="10" t="n">
        <x:v>0.003939507250779499</x:v>
      </x:c>
      <x:c r="I12" s="2"/>
    </x:row>
    <x:row r="13" ht="26" customHeight="1">
      <x:c r="A13" s="2"/>
      <x:c r="B13" s="2" t="str">
        <x:v>동일 4,100명 · 고유 시각 보정</x:v>
      </x:c>
      <x:c r="C13" s="8" t="n">
        <x:v>4100</x:v>
      </x:c>
      <x:c r="D13" s="8" t="n">
        <x:v>1478</x:v>
      </x:c>
      <x:c r="E13" s="9" t="n">
        <x:v>0.6739363999172124</x:v>
      </x:c>
      <x:c r="F13" s="9" t="n">
        <x:v>0.5840883957166564</x:v>
      </x:c>
      <x:c r="G13" s="9" t="n">
        <x:v>0.7776053666947057</x:v>
      </x:c>
      <x:c r="H13" s="10" t="n">
        <x:v>1.292420907898077e-7</x:v>
      </x:c>
      <x:c r="I13" s="2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6" customHeight="1">
      <x:c r="A15" s="2"/>
      <x:c r="B15" s="2" t="str">
        <x:v>미보정 행의 Holm p는 적용 대상 아님. 보정 모형 4개의 검정만 Holm 보정.</x:v>
      </x:c>
      <x:c r="C15" s="2"/>
      <x:c r="D15" s="2"/>
      <x:c r="E15" s="2"/>
      <x:c r="F15" s="2"/>
      <x:c r="G15" s="2"/>
      <x:c r="H15" s="2"/>
      <x:c r="I15" s="2"/>
    </x:row>
    <x:row r="16" ht="26" customHeight="1">
      <x:c r="A16" s="2"/>
      <x:c r="B16" s="2" t="str">
        <x:v>보정: 활동일 수·최근성 범주, log(1+문항 수), log(1+세션 수), 첫 관측 학습 시각.</x:v>
      </x:c>
      <x:c r="C16" s="2"/>
      <x:c r="D16" s="2"/>
      <x:c r="E16" s="2"/>
      <x:c r="F16" s="2"/>
      <x:c r="G16" s="2"/>
      <x:c r="H16" s="2"/>
      <x:c r="I16" s="2"/>
    </x:row>
    <x:row r="17" ht="26" customHeight="1">
      <x:c r="A17" s="2"/>
      <x:c r="B17" s="2" t="str">
        <x:v>세션 정의에 따라 추정 크기가 달라짐. OR 0.705는 반복학습 확률이 29.5% 낮다는 뜻이 아님.</x:v>
      </x:c>
      <x:c r="C17" s="2"/>
      <x:c r="D17" s="2"/>
      <x:c r="E17" s="2"/>
      <x:c r="F17" s="2"/>
      <x:c r="G17" s="2"/>
      <x:c r="H17" s="2"/>
      <x:c r="I17" s="2"/>
    </x:row>
    <x:row r="18" ht="26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30" customHeight="1">
      <x:c r="A19" s="2"/>
      <x:c r="B19" s="7" t="str">
        <x:v>미보정 CV 사분위</x:v>
      </x:c>
      <x:c r="C19" s="7" t="str">
        <x:v>사용자</x:v>
      </x:c>
      <x:c r="D19" s="7" t="str">
        <x:v>반복학습 인원</x:v>
      </x:c>
      <x:c r="E19" s="7" t="str">
        <x:v>반복학습률</x:v>
      </x:c>
      <x:c r="F19" s="7" t="str">
        <x:v>문항 수 중앙값</x:v>
      </x:c>
      <x:c r="G19" s="7" t="str">
        <x:v>세션 수 중앙값</x:v>
      </x:c>
      <x:c r="H19" s="2"/>
      <x:c r="I19" s="2"/>
    </x:row>
    <x:row r="20" ht="26" customHeight="1">
      <x:c r="A20" s="2"/>
      <x:c r="B20" s="2" t="str">
        <x:v>Q1 낮은 변동</x:v>
      </x:c>
      <x:c r="C20" s="8" t="n">
        <x:v>2659</x:v>
      </x:c>
      <x:c r="D20" s="8" t="n">
        <x:v>731</x:v>
      </x:c>
      <x:c r="E20" s="15" t="n">
        <x:f>D20/C20</x:f>
        <x:v>0.27491538172245206</x:v>
      </x:c>
      <x:c r="F20" s="8" t="n">
        <x:v>141</x:v>
      </x:c>
      <x:c r="G20" s="8" t="n">
        <x:v>5</x:v>
      </x:c>
      <x:c r="H20" s="2"/>
      <x:c r="I20" s="2"/>
    </x:row>
    <x:row r="21" ht="26" customHeight="1">
      <x:c r="A21" s="2"/>
      <x:c r="B21" s="2" t="str">
        <x:v>Q2</x:v>
      </x:c>
      <x:c r="C21" s="8" t="n">
        <x:v>2658</x:v>
      </x:c>
      <x:c r="D21" s="8" t="n">
        <x:v>647</x:v>
      </x:c>
      <x:c r="E21" s="15" t="n">
        <x:f>D21/C21</x:f>
        <x:v>0.24341610233258087</x:v>
      </x:c>
      <x:c r="F21" s="8" t="n">
        <x:v>153</x:v>
      </x:c>
      <x:c r="G21" s="8" t="n">
        <x:v>5</x:v>
      </x:c>
      <x:c r="H21" s="2"/>
      <x:c r="I21" s="2"/>
    </x:row>
    <x:row r="22" ht="26" customHeight="1">
      <x:c r="A22" s="2"/>
      <x:c r="B22" s="2" t="str">
        <x:v>Q3</x:v>
      </x:c>
      <x:c r="C22" s="8" t="n">
        <x:v>2658</x:v>
      </x:c>
      <x:c r="D22" s="8" t="n">
        <x:v>726</x:v>
      </x:c>
      <x:c r="E22" s="15" t="n">
        <x:f>D22/C22</x:f>
        <x:v>0.27313769751693</x:v>
      </x:c>
      <x:c r="F22" s="8" t="n">
        <x:v>230</x:v>
      </x:c>
      <x:c r="G22" s="8" t="n">
        <x:v>8</x:v>
      </x:c>
      <x:c r="H22" s="2"/>
      <x:c r="I22" s="2"/>
    </x:row>
    <x:row r="23" ht="26" customHeight="1">
      <x:c r="A23" s="2"/>
      <x:c r="B23" s="2" t="str">
        <x:v>Q4 높은 변동</x:v>
      </x:c>
      <x:c r="C23" s="8" t="n">
        <x:v>2658</x:v>
      </x:c>
      <x:c r="D23" s="8" t="n">
        <x:v>783</x:v>
      </x:c>
      <x:c r="E23" s="15" t="n">
        <x:f>D23/C23</x:f>
        <x:v>0.2945823927765237</x:v>
      </x:c>
      <x:c r="F23" s="8" t="n">
        <x:v>387</x:v>
      </x:c>
      <x:c r="G23" s="8" t="n">
        <x:v>15</x:v>
      </x:c>
      <x:c r="H23" s="2"/>
      <x:c r="I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6" customHeight="1">
      <x:c r="A25" s="2"/>
      <x:c r="B25" s="2" t="str">
        <x:v>단순 사분위 비교는 단조롭지 않음. 변동이 큰 집단의 세션 수와 학습량도 큼.</x:v>
      </x:c>
      <x:c r="C25" s="2"/>
      <x:c r="D25" s="2"/>
      <x:c r="E25" s="2"/>
      <x:c r="F25" s="2"/>
      <x:c r="G25" s="2"/>
      <x:c r="H25" s="2"/>
      <x:c r="I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0" customHeight="1">
      <x:c r="A27" s="2"/>
      <x:c r="B27" s="7" t="str">
        <x:v>비슷한 활동 조건의 보조 비교</x:v>
      </x:c>
      <x:c r="C27" s="7" t="str">
        <x:v>낮은 변동 비율</x:v>
      </x:c>
      <x:c r="D27" s="7" t="str">
        <x:v>높은 변동 비율</x:v>
      </x:c>
      <x:c r="E27" s="7" t="str">
        <x:v>차이 %p</x:v>
      </x:c>
      <x:c r="F27" s="7" t="str">
        <x:v>포함 사용자</x:v>
      </x:c>
      <x:c r="G27" s="7" t="str">
        <x:v>층 수</x:v>
      </x:c>
      <x:c r="H27" s="2"/>
      <x:c r="I27" s="2"/>
    </x:row>
    <x:row r="28" ht="26" customHeight="1">
      <x:c r="A28" s="2"/>
      <x:c r="B28" s="2" t="str">
        <x:v>층 내부 중앙값 기준 · 동일 층 가중치</x:v>
      </x:c>
      <x:c r="C28" s="16" t="n">
        <x:v>0.28627441341742316</x:v>
      </x:c>
      <x:c r="D28" s="16" t="n">
        <x:v>0.23381995431146432</x:v>
      </x:c>
      <x:c r="E28" s="17" t="n">
        <x:f>(D28-C28)*100</x:f>
        <x:v>-5.245445910595883</x:v>
      </x:c>
      <x:c r="F28" s="8" t="n">
        <x:v>9568</x:v>
      </x:c>
      <x:c r="G28" s="8" t="n">
        <x:v>120</x:v>
      </x:c>
      <x:c r="H28" s="2"/>
      <x:c r="I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6" customHeight="1">
      <x:c r="A30" s="2"/>
      <x:c r="B30" s="2" t="str">
        <x:v>활동일·최근성·세션 수를 맞추고 문항 수 3분위로 층화. 양 집단 각각 10명 이상인 층만 포함.</x:v>
      </x:c>
      <x:c r="C30" s="2"/>
      <x:c r="D30" s="2"/>
      <x:c r="E30" s="2"/>
      <x:c r="F30" s="2"/>
      <x:c r="G30" s="2"/>
      <x:c r="H30" s="2"/>
      <x:c r="I30" s="2"/>
    </x:row>
    <x:row r="31" ht="26" customHeight="1">
      <x:c r="A31" s="2"/>
      <x:c r="B31" s="2" t="str">
        <x:v>층별 전체 인원 비중으로 가중. 첫 관측 시각까지 보정한 비교는 아니며 기술 통계로 해석.</x:v>
      </x:c>
      <x:c r="C31" s="2"/>
      <x:c r="D31" s="2"/>
      <x:c r="E31" s="2"/>
      <x:c r="F31" s="2"/>
      <x:c r="G31" s="2"/>
      <x:c r="H31" s="2"/>
      <x:c r="I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6" customHeight="1">
      <x:c r="A33" s="2"/>
      <x:c r="B33" s="2" t="str">
        <x:v>주 분석은 14,583명 중 10,633명(72.9%). 기록 부족 3,950명에게 결과를 일반화하지 않음.</x:v>
      </x:c>
      <x:c r="C33" s="2"/>
      <x:c r="D33" s="2"/>
      <x:c r="E33" s="2"/>
      <x:c r="F33" s="2"/>
      <x:c r="G33" s="2"/>
      <x:c r="H33" s="2"/>
      <x:c r="I33" s="2"/>
    </x:row>
    <x:row r="34" ht="26" customHeight="1">
      <x:c r="A34" s="2"/>
      <x:c r="B34" s="2" t="str">
        <x:v>후속 과제: 초반·후반 정답률 변화와 재학습 관계 분석, 이후 무작위 개입 실험 설계.</x:v>
      </x:c>
      <x:c r="C34" s="2"/>
      <x:c r="D34" s="2"/>
      <x:c r="E34" s="2"/>
      <x:c r="F34" s="2"/>
      <x:c r="G34" s="2"/>
      <x:c r="H34" s="2"/>
      <x:c r="I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2"/>
      <x:c r="B2" s="4" t="str">
        <x:v>규칙성 산출 대상과 분석 기준</x:v>
      </x:c>
      <x:c r="C2" s="3"/>
      <x:c r="D2" s="3"/>
      <x:c r="E2" s="3"/>
      <x:c r="F2" s="3"/>
      <x:c r="G2" s="3"/>
      <x:c r="H2" s="3"/>
      <x:c r="I2" s="2"/>
    </x:row>
    <x:row r="3" ht="26" customHeight="1">
      <x:c r="A3" s="2"/>
      <x:c r="B3" s="2" t="str">
        <x:v>분석 포함 기준: 해당 정의의 세션 4회 이상, 기준 주간 활동일 2일 이상.</x:v>
      </x:c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 t="str">
        <x:v>세그먼트별 산출 가능 범위는 아래와 같음. 회귀 분석은 습관 형성형에 한정.</x:v>
      </x:c>
      <x:c r="C4" s="2"/>
      <x:c r="D4" s="2"/>
      <x:c r="E4" s="2"/>
      <x:c r="F4" s="2"/>
      <x:c r="G4" s="2"/>
      <x:c r="H4" s="2"/>
      <x:c r="I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2"/>
      <x:c r="B6" s="7" t="str">
        <x:v>세션 정의</x:v>
      </x:c>
      <x:c r="C6" s="7" t="str">
        <x:v>세그먼트</x:v>
      </x:c>
      <x:c r="D6" s="7" t="str">
        <x:v>기준 인원</x:v>
      </x:c>
      <x:c r="E6" s="7" t="str">
        <x:v>분석 가능</x:v>
      </x:c>
      <x:c r="F6" s="7" t="str">
        <x:v>제외 인원</x:v>
      </x:c>
      <x:c r="G6" s="7" t="str">
        <x:v>포함 비율</x:v>
      </x:c>
      <x:c r="H6" s="2"/>
      <x:c r="I6" s="2"/>
    </x:row>
    <x:row r="7" ht="26" customHeight="1">
      <x:c r="A7" s="2"/>
      <x:c r="B7" s="2" t="str">
        <x:v>30분 초과 간격으로 분리</x:v>
      </x:c>
      <x:c r="C7" s="2" t="str">
        <x:v>꾸준형</x:v>
      </x:c>
      <x:c r="D7" s="8" t="n">
        <x:v>8882</x:v>
      </x:c>
      <x:c r="E7" s="8" t="n">
        <x:v>8844</x:v>
      </x:c>
      <x:c r="F7" s="8" t="n">
        <x:f>D7-E7</x:f>
        <x:v>38</x:v>
      </x:c>
      <x:c r="G7" s="15" t="n">
        <x:f>E7/D7</x:f>
        <x:v>0.9957216843053366</x:v>
      </x:c>
      <x:c r="H7" s="2"/>
      <x:c r="I7" s="2"/>
    </x:row>
    <x:row r="8" ht="26" customHeight="1">
      <x:c r="A8" s="2"/>
      <x:c r="B8" s="2" t="str">
        <x:v>30분 초과 간격으로 분리</x:v>
      </x:c>
      <x:c r="C8" s="2" t="str">
        <x:v>멈춤-꾸준형</x:v>
      </x:c>
      <x:c r="D8" s="8" t="n">
        <x:v>3627</x:v>
      </x:c>
      <x:c r="E8" s="8" t="n">
        <x:v>2405</x:v>
      </x:c>
      <x:c r="F8" s="8" t="n">
        <x:f>D8-E8</x:f>
        <x:v>1222</x:v>
      </x:c>
      <x:c r="G8" s="15" t="n">
        <x:f>E8/D8</x:f>
        <x:v>0.6630824372759857</x:v>
      </x:c>
      <x:c r="H8" s="2"/>
      <x:c r="I8" s="2"/>
    </x:row>
    <x:row r="9" ht="26" customHeight="1">
      <x:c r="A9" s="2"/>
      <x:c r="B9" s="2" t="str">
        <x:v>30분 초과 간격으로 분리</x:v>
      </x:c>
      <x:c r="C9" s="2" t="str">
        <x:v>멈춤-몰입형</x:v>
      </x:c>
      <x:c r="D9" s="8" t="n">
        <x:v>9303</x:v>
      </x:c>
      <x:c r="E9" s="8" t="n">
        <x:v>860</x:v>
      </x:c>
      <x:c r="F9" s="8" t="n">
        <x:f>D9-E9</x:f>
        <x:v>8443</x:v>
      </x:c>
      <x:c r="G9" s="15" t="n">
        <x:f>E9/D9</x:f>
        <x:v>0.09244329786090509</x:v>
      </x:c>
      <x:c r="H9" s="2"/>
      <x:c r="I9" s="2"/>
    </x:row>
    <x:row r="10" ht="26" customHeight="1">
      <x:c r="A10" s="2"/>
      <x:c r="B10" s="2" t="str">
        <x:v>30분 초과 간격으로 분리</x:v>
      </x:c>
      <x:c r="C10" s="2" t="str">
        <x:v>멈춤-저활동형</x:v>
      </x:c>
      <x:c r="D10" s="8" t="n">
        <x:v>30670</x:v>
      </x:c>
      <x:c r="E10" s="8" t="n">
        <x:v>121</x:v>
      </x:c>
      <x:c r="F10" s="8" t="n">
        <x:f>D10-E10</x:f>
        <x:v>30549</x:v>
      </x:c>
      <x:c r="G10" s="15" t="n">
        <x:f>E10/D10</x:f>
        <x:v>0.003945223345288556</x:v>
      </x:c>
      <x:c r="H10" s="2"/>
      <x:c r="I10" s="2"/>
    </x:row>
    <x:row r="11" ht="26" customHeight="1">
      <x:c r="A11" s="2"/>
      <x:c r="B11" s="2" t="str">
        <x:v>30분 초과 간격으로 분리</x:v>
      </x:c>
      <x:c r="C11" s="2" t="str">
        <x:v>습관 형성형</x:v>
      </x:c>
      <x:c r="D11" s="8" t="n">
        <x:v>14583</x:v>
      </x:c>
      <x:c r="E11" s="8" t="n">
        <x:v>4100</x:v>
      </x:c>
      <x:c r="F11" s="8" t="n">
        <x:f>D11-E11</x:f>
        <x:v>10483</x:v>
      </x:c>
      <x:c r="G11" s="15" t="n">
        <x:f>E11/D11</x:f>
        <x:v>0.28114928341219225</x:v>
      </x:c>
      <x:c r="H11" s="2"/>
      <x:c r="I11" s="2"/>
    </x:row>
    <x:row r="12" ht="26" customHeight="1">
      <x:c r="A12" s="2"/>
      <x:c r="B12" s="2" t="str">
        <x:v>30분 초과 간격으로 분리</x:v>
      </x:c>
      <x:c r="C12" s="2" t="str">
        <x:v>최근 단발형</x:v>
      </x:c>
      <x:c r="D12" s="8" t="n">
        <x:v>15402</x:v>
      </x:c>
      <x:c r="E12" s="8" t="n">
        <x:v>0</x:v>
      </x:c>
      <x:c r="F12" s="8" t="n">
        <x:f>D12-E12</x:f>
        <x:v>15402</x:v>
      </x:c>
      <x:c r="G12" s="15" t="n">
        <x:f>E12/D12</x:f>
        <x:v>0</x:v>
      </x:c>
      <x:c r="H12" s="2"/>
      <x:c r="I12" s="2"/>
    </x:row>
    <x:row r="13" ht="26" customHeight="1">
      <x:c r="A13" s="2"/>
      <x:c r="B13" s="2" t="str">
        <x:v>고유 타임스탬프</x:v>
      </x:c>
      <x:c r="C13" s="2" t="str">
        <x:v>꾸준형</x:v>
      </x:c>
      <x:c r="D13" s="8" t="n">
        <x:v>8882</x:v>
      </x:c>
      <x:c r="E13" s="8" t="n">
        <x:v>8882</x:v>
      </x:c>
      <x:c r="F13" s="8" t="n">
        <x:f>D13-E13</x:f>
        <x:v>0</x:v>
      </x:c>
      <x:c r="G13" s="15" t="n">
        <x:f>E13/D13</x:f>
        <x:v>1</x:v>
      </x:c>
      <x:c r="H13" s="2"/>
      <x:c r="I13" s="2"/>
    </x:row>
    <x:row r="14" ht="26" customHeight="1">
      <x:c r="A14" s="2"/>
      <x:c r="B14" s="2" t="str">
        <x:v>고유 타임스탬프</x:v>
      </x:c>
      <x:c r="C14" s="2" t="str">
        <x:v>멈춤-꾸준형</x:v>
      </x:c>
      <x:c r="D14" s="8" t="n">
        <x:v>3627</x:v>
      </x:c>
      <x:c r="E14" s="8" t="n">
        <x:v>3391</x:v>
      </x:c>
      <x:c r="F14" s="8" t="n">
        <x:f>D14-E14</x:f>
        <x:v>236</x:v>
      </x:c>
      <x:c r="G14" s="15" t="n">
        <x:f>E14/D14</x:f>
        <x:v>0.9349324510614834</x:v>
      </x:c>
      <x:c r="H14" s="2"/>
      <x:c r="I14" s="2"/>
    </x:row>
    <x:row r="15" ht="26" customHeight="1">
      <x:c r="A15" s="2"/>
      <x:c r="B15" s="2" t="str">
        <x:v>고유 타임스탬프</x:v>
      </x:c>
      <x:c r="C15" s="2" t="str">
        <x:v>멈춤-몰입형</x:v>
      </x:c>
      <x:c r="D15" s="8" t="n">
        <x:v>9303</x:v>
      </x:c>
      <x:c r="E15" s="8" t="n">
        <x:v>3930</x:v>
      </x:c>
      <x:c r="F15" s="8" t="n">
        <x:f>D15-E15</x:f>
        <x:v>5373</x:v>
      </x:c>
      <x:c r="G15" s="15" t="n">
        <x:f>E15/D15</x:f>
        <x:v>0.42244437278297325</x:v>
      </x:c>
      <x:c r="H15" s="2"/>
      <x:c r="I15" s="2"/>
    </x:row>
    <x:row r="16" ht="26" customHeight="1">
      <x:c r="A16" s="2"/>
      <x:c r="B16" s="2" t="str">
        <x:v>고유 타임스탬프</x:v>
      </x:c>
      <x:c r="C16" s="2" t="str">
        <x:v>멈춤-저활동형</x:v>
      </x:c>
      <x:c r="D16" s="8" t="n">
        <x:v>30670</x:v>
      </x:c>
      <x:c r="E16" s="8" t="n">
        <x:v>1019</x:v>
      </x:c>
      <x:c r="F16" s="8" t="n">
        <x:f>D16-E16</x:f>
        <x:v>29651</x:v>
      </x:c>
      <x:c r="G16" s="15" t="n">
        <x:f>E16/D16</x:f>
        <x:v>0.03322464949462015</x:v>
      </x:c>
      <x:c r="H16" s="2"/>
      <x:c r="I16" s="2"/>
    </x:row>
    <x:row r="17" ht="26" customHeight="1">
      <x:c r="A17" s="2"/>
      <x:c r="B17" s="2" t="str">
        <x:v>고유 타임스탬프</x:v>
      </x:c>
      <x:c r="C17" s="2" t="str">
        <x:v>습관 형성형</x:v>
      </x:c>
      <x:c r="D17" s="8" t="n">
        <x:v>14583</x:v>
      </x:c>
      <x:c r="E17" s="8" t="n">
        <x:v>10633</x:v>
      </x:c>
      <x:c r="F17" s="8" t="n">
        <x:f>D17-E17</x:f>
        <x:v>3950</x:v>
      </x:c>
      <x:c r="G17" s="15" t="n">
        <x:f>E17/D17</x:f>
        <x:v>0.7291366659809367</x:v>
      </x:c>
      <x:c r="H17" s="2"/>
      <x:c r="I17" s="2"/>
    </x:row>
    <x:row r="18" ht="26" customHeight="1">
      <x:c r="A18" s="2"/>
      <x:c r="B18" s="2" t="str">
        <x:v>고유 타임스탬프</x:v>
      </x:c>
      <x:c r="C18" s="2" t="str">
        <x:v>최근 단발형</x:v>
      </x:c>
      <x:c r="D18" s="8" t="n">
        <x:v>15402</x:v>
      </x:c>
      <x:c r="E18" s="8" t="n">
        <x:v>0</x:v>
      </x:c>
      <x:c r="F18" s="8" t="n">
        <x:f>D18-E18</x:f>
        <x:v>15402</x:v>
      </x:c>
      <x:c r="G18" s="15" t="n">
        <x:f>E18/D18</x:f>
        <x:v>0</x:v>
      </x:c>
      <x:c r="H18" s="2"/>
      <x:c r="I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6" customHeight="1">
      <x:c r="A21" s="2"/>
      <x:c r="B21" s="2" t="str">
        <x:v>기본 세션: 사용자별 고유 timestamp. 30분 정의: 직전 기록과 30분 초과 간격이면 새 세션.</x:v>
      </x:c>
      <x:c r="C21" s="2"/>
      <x:c r="D21" s="2"/>
      <x:c r="E21" s="2"/>
      <x:c r="F21" s="2"/>
      <x:c r="G21" s="2"/>
      <x:c r="H21" s="2"/>
      <x:c r="I21" s="2"/>
    </x:row>
    <x:row r="22" ht="26" customHeight="1">
      <x:c r="A22" s="2"/>
      <x:c r="B22" s="2" t="str">
        <x:v>실제 세션 ID가 없으므로 추정치. 단어별 delta는 사용하지 않음. 언어별 기록은 사용자 단위로 통합.</x:v>
      </x:c>
      <x:c r="C22" s="2"/>
      <x:c r="D22" s="2"/>
      <x:c r="E22" s="2"/>
      <x:c r="F22" s="2"/>
      <x:c r="G22" s="2"/>
      <x:c r="H22" s="2"/>
      <x:c r="I22" s="2"/>
    </x:row>
    <x:row r="23" ht="26" customHeight="1">
      <x:c r="A23" s="2"/>
      <x:c r="B23" s="2" t="str">
        <x:v>원천: learning_traces.13m.csv 및 v3/user_retention_cohort.csv. SHA-256은 regularity_results.json에 기록.</x:v>
      </x:c>
      <x:c r="C23" s="2"/>
      <x:c r="D23" s="2"/>
      <x:c r="E23" s="2"/>
      <x:c r="F23" s="2"/>
      <x:c r="G23" s="2"/>
      <x:c r="H23" s="2"/>
      <x:c r="I23" s="2"/>
    </x:row>
    <x:row r="24" ht="26" customHeight="1">
      <x:c r="A24" s="2"/>
      <x:c r="B24" s="2" t="str">
        <x:v>로지스틱 회귀·HC1 표준오차·양측 Wald 검정. 보정 모형 4개 규칙성 계수에 Holm 보정.</x:v>
      </x:c>
      <x:c r="C24" s="2"/>
      <x:c r="D24" s="2"/>
      <x:c r="E24" s="2"/>
      <x:c r="F24" s="2"/>
      <x:c r="G24" s="2"/>
      <x:c r="H24" s="2"/>
      <x:c r="I24" s="2"/>
    </x:row>
    <x:row r="25" ht="26" customHeight="1">
      <x:c r="A25" s="2"/>
      <x:c r="B25" s="2" t="str">
        <x:v>관측된 연관성. 7일 안의 간격만 포함하며 장기 유지·알림 효과·예측 성능은 미검증.</x:v>
      </x:c>
      <x:c r="C25" s="2"/>
      <x:c r="D25" s="2"/>
      <x:c r="E25" s="2"/>
      <x:c r="F25" s="2"/>
      <x:c r="G25" s="2"/>
      <x:c r="H25" s="2"/>
      <x:c r="I25" s="2"/>
    </x:row>
    <x:row r="26" ht="26" customHeight="1">
      <x:c r="A26" s="2"/>
      <x:c r="B26" s="2" t="str">
        <x:v>간격 수에 따라 가능한 CV 범위가 달라, 모든 사용자에게 공통 CV를 부여한 보정 확률은 제시하지 않음.</x:v>
      </x:c>
      <x:c r="C26" s="2"/>
      <x:c r="D26" s="2"/>
      <x:c r="E26" s="2"/>
      <x:c r="F26" s="2"/>
      <x:c r="G26" s="2"/>
      <x:c r="H26" s="2"/>
      <x:c r="I26" s="2"/>
    </x:row>
    <x:row r="27" ht="26" customHeight="1">
      <x:c r="A27" s="2"/>
      <x:c r="B27" s="2" t="str">
        <x:v>30분 정의는 4,100명(습관 형성형의 28.1%)만 포함. 같은 4,100명에 기본 정의도 적용해 함께 비교.</x:v>
      </x:c>
      <x:c r="C27" s="2"/>
      <x:c r="D27" s="2"/>
      <x:c r="E27" s="2"/>
      <x:c r="F27" s="2"/>
      <x:c r="G27" s="2"/>
      <x:c r="H27" s="2"/>
      <x:c r="I27" s="2"/>
    </x:row>
    <x:row r="28" ht="26" customHeight="1">
      <x:c r="A28" s="2"/>
      <x:c r="B28" s="2" t="str">
        <x:v>사용자별 지표: user_regularity.csv. 층별 분자·분모: within_strata_comparison.csv.</x:v>
      </x:c>
      <x:c r="C28" s="2"/>
      <x:c r="D28" s="2"/>
      <x:c r="E28" s="2"/>
      <x:c r="F28" s="2"/>
      <x:c r="G28" s="2"/>
      <x:c r="H28" s="2"/>
      <x:c r="I28" s="2"/>
    </x:row>
    <x:row r="29" ht="26" customHeight="1">
      <x:c r="A29" s="2"/>
      <x:c r="B29" s="2" t="str">
        <x:v>회귀 수치는 Python 분석의 스냅샷. 엑셀 수치 수정으로 재적합되지 않음.</x:v>
      </x:c>
      <x:c r="C29" s="2"/>
      <x:c r="D29" s="2"/>
      <x:c r="E29" s="2"/>
      <x:c r="F29" s="2"/>
      <x:c r="G29" s="2"/>
      <x:c r="H29" s="2"/>
      <x:c r="I29" s="2"/>
    </x:row>
    <x:row r="30" ht="26" customHeight="1">
      <x:c r="A30" s="2"/>
      <x:c r="B30" s="2" t="str">
        <x:v>재실행: v3/analyze_regularity.py → 이 폴더의 verify_regularity.py → build_regularity_workbook.mjs.</x:v>
      </x:c>
      <x:c r="C30" s="2"/>
      <x:c r="D30" s="2"/>
      <x:c r="E30" s="2"/>
      <x:c r="F30" s="2"/>
      <x:c r="G30" s="2"/>
      <x:c r="H30" s="2"/>
      <x:c r="I30" s="2"/>
    </x:row>
    <x:row r="31" ht="26" customHeight="1">
      <x:c r="A31" s="2"/>
      <x:c r="B31" s="2" t="str">
        <x:v>검증: 82,467명 기존 집계 대조, 150명 간격 재계산, 5개 모형 독립 BFGS 교차검증.</x:v>
      </x:c>
      <x:c r="C31" s="2"/>
      <x:c r="D31" s="2"/>
      <x:c r="E31" s="2"/>
      <x:c r="F31" s="2"/>
      <x:c r="G31" s="2"/>
      <x:c r="H31" s="2"/>
      <x:c r="I31" s="2"/>
    </x:row>
    <x:row r="32" ht="26" customHeight="1">
      <x:c r="A32" s="2"/>
      <x:c r="B32" s="2" t="str">
        <x:v>기록 부족을 규칙성 0으로 처리하지 않음. 사분위·최소 세션 수는 검증된 운영 임계값이 아님.</x:v>
      </x:c>
      <x:c r="C32" s="2"/>
      <x:c r="D32" s="2"/>
      <x:c r="E32" s="2"/>
      <x:c r="F32" s="2"/>
      <x:c r="G32" s="2"/>
      <x:c r="H32" s="2"/>
      <x:c r="I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</x:row>
  </x:sheetData>
  <x:pageMargins left="0.7" right="0.7" top="0.75" bottom="0.75" header="0.3" footer="0.3"/>
</x:worksheet>
</file>